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gd\Downloads\"/>
    </mc:Choice>
  </mc:AlternateContent>
  <xr:revisionPtr revIDLastSave="0" documentId="13_ncr:1_{2C60F6BB-E482-4294-A355-4742B7B97940}" xr6:coauthVersionLast="47" xr6:coauthVersionMax="47" xr10:uidLastSave="{00000000-0000-0000-0000-000000000000}"/>
  <bookViews>
    <workbookView xWindow="-110" yWindow="-110" windowWidth="19420" windowHeight="10420" tabRatio="816" activeTab="2" xr2:uid="{00000000-000D-0000-FFFF-FFFF00000000}"/>
  </bookViews>
  <sheets>
    <sheet name="แนบ 1 อำนาจรับคืน" sheetId="1" r:id="rId1"/>
    <sheet name="แนบ 1 อำนาจให้เพิ่ม" sheetId="2" r:id="rId2"/>
    <sheet name="สรุปยกเลิก-ปรับแผน" sheetId="3" r:id="rId3"/>
  </sheets>
  <definedNames>
    <definedName name="_xlnm.Print_Area" localSheetId="0">'แนบ 1 อำนาจรับคืน'!$A$1:$H$63</definedName>
    <definedName name="_xlnm.Print_Area" localSheetId="1">'แนบ 1 อำนาจให้เพิ่ม'!$A$1:$H$27</definedName>
    <definedName name="_xlnm.Print_Area" localSheetId="2">'สรุปยกเลิก-ปรับแผน'!$A$1:$F$64</definedName>
    <definedName name="_xlnm.Print_Titles" localSheetId="0">'แนบ 1 อำนาจรับคืน'!$4:$4</definedName>
    <definedName name="_xlnm.Print_Titles" localSheetId="1">'แนบ 1 อำนาจให้เพิ่ม'!$3:$3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19" i="2"/>
  <c r="G13" i="2"/>
  <c r="G14" i="2" s="1"/>
  <c r="G23" i="2" s="1"/>
  <c r="G59" i="1"/>
  <c r="G47" i="1"/>
  <c r="G43" i="1"/>
  <c r="G32" i="1"/>
  <c r="G18" i="1"/>
  <c r="G33" i="1" s="1"/>
  <c r="G60" i="1" s="1"/>
  <c r="I4" i="1"/>
  <c r="I2" i="1"/>
</calcChain>
</file>

<file path=xl/sharedStrings.xml><?xml version="1.0" encoding="utf-8"?>
<sst xmlns="http://schemas.openxmlformats.org/spreadsheetml/2006/main" count="466" uniqueCount="212">
  <si>
    <t>รายการทบทวนแผนปฏิบัติการประจำปีงบประมาณ พ.ศ. 2569 (ครั้งที่ 3) สำหรับดำเนินการในเดือนสิงหาคม - กันยายน 2569</t>
  </si>
  <si>
    <t>3.2.1 รายการขอส่งคืนเงินงบประมาณจากการดำเนินงาน/ก่อหนี้ผูกพันแล้วเสร็จ (43 รายการ)</t>
  </si>
  <si>
    <t>ลำดับ</t>
  </si>
  <si>
    <t>ชื่องาน/โครงการ</t>
  </si>
  <si>
    <t>รหัสกิจกรรม</t>
  </si>
  <si>
    <t>หน่วยงาน</t>
  </si>
  <si>
    <t>จำนวนเงิน
ที่ได้รับจัดสรร</t>
  </si>
  <si>
    <t>ผลการใช้จ่าย</t>
  </si>
  <si>
    <t>จำนวนเงิน
ขอส่งคืน</t>
  </si>
  <si>
    <t>หมายเหตุ</t>
  </si>
  <si>
    <t>2. แผนงานพื้นฐานด้านการปรับสมดุลและพัฒนาระบบการบริหารจัดการภาครัฐ</t>
  </si>
  <si>
    <t xml:space="preserve">    ค่าใช้จ่ายดำเนินงานพื้นฐาน (ผลผลิต: การส่งเสริม/คุ้มครองสิทธิมนุษยชน)</t>
  </si>
  <si>
    <t>งานเช่าเครื่องถ่ายเอกสาร</t>
  </si>
  <si>
    <t>69M1-71018</t>
  </si>
  <si>
    <t>สบก.</t>
  </si>
  <si>
    <t>ปรับโครงสร้างสำนักงาน กสม. ใหม่ และได้รับจัดสรรเงินค่าเช่าเครื่องถ่ายเอกสารเพิ่มเติมแล้วแต่ไม่ได้เปลี่ยนสัญญาเช่าใหม่ ขอส่งคืนงบประมาณเหลือจ่าย 36,000 บาท</t>
  </si>
  <si>
    <t>งานจัดหาวัสดุคอมพิวเตอร์</t>
  </si>
  <si>
    <t>69M1-72001</t>
  </si>
  <si>
    <t>ดำเนินการจัดซื้อวัสดุคอมพิวเตอร์ครบทุกรายการแล้ว ขอส่งคืนงบประมาณเหลือจ่าย 1,275 บาท</t>
  </si>
  <si>
    <t>ค่าตอบแทนการจัดหารถประจำตำแหน่ง</t>
  </si>
  <si>
    <t>69M1-81203</t>
  </si>
  <si>
    <t>มีตำแหน่งว่าง 1 ตำแหน่ง (รองเลขาธิการ) ขอส่งคืนงบประมาณเหลือจ่าย 342,619.35 บาท โดยกันวงเงินไว้เป็นค่าตอบแทน 2 เดือนหลัง (ส.ค.-ก.ย. 69) รวม 248,180.65 บาท</t>
  </si>
  <si>
    <t>งานบริหารทั่วไปสำนักบริหารทรัพยากรบุคคล</t>
  </si>
  <si>
    <t>69M1-82028</t>
  </si>
  <si>
    <t>สทบ.</t>
  </si>
  <si>
    <t>ดำเนินการจัดประชุมสำนักและเบิกจ่ายค่าตอบแทนการปฏิบัติงานนอกเวลาราชการ (OT) แล้ว มีเงินเหลือจ่าย ขอส่งคืนงบประมาณ 3,876 บาท</t>
  </si>
  <si>
    <t>งานบริหารทรัพยากรบุคคล</t>
  </si>
  <si>
    <t>69M1-82002</t>
  </si>
  <si>
    <t>ดำเนินภารกิจงานบริหารทรัพยากรบุคคลบางส่วนแล้ว มีเงินเหลือจ่าย ขอส่งคืนงบประมาณ 30,205 บาท ส่วนที่เหลือ 103,833 บาท กันไว้สำหรับการดำเนินงานของคณะกรรมการด้านบริหารทรัพยากรบุคคลในเดือน ส.ค.-ก.ย. 69</t>
  </si>
  <si>
    <t>งานประสานความร่วมมือกับภาคีเครือข่าย</t>
  </si>
  <si>
    <t>69M1-82014</t>
  </si>
  <si>
    <t>สสค.</t>
  </si>
  <si>
    <t>ไม่มีแผนงานรองรับการใช้จ่ายส่วนที่เหลือในช่วง 2 เดือนหลัง ขอคืนเงินงบประมาณ 105,000 บาท คงเหลือวงเงินที่ใช้จ่ายได้ 10,305 บาท</t>
  </si>
  <si>
    <t>งานบริหารทั่วไปของ สคส.1</t>
  </si>
  <si>
    <t>69T4-82003</t>
  </si>
  <si>
    <t>สคส.1</t>
  </si>
  <si>
    <t>สคส.1 ทบทวนแผนการดำเนินงาน มีภารกิจที่ต้องดำเนินการในช่วง 2 เดือนหลัง (ส.ค.-ก.ย.) ใช้งบประมาณ 24,000 บาท จึงขอส่งคืนงบประมาณเหลือจ่ายทั้งหมด จำนวน 201,045.50 บาท</t>
  </si>
  <si>
    <t>งานติดตามผลการดำเนินการตามมาตรการแนวทาง หรือข้อเสนอแนะของ กสม.</t>
  </si>
  <si>
    <t>69T4-82019</t>
  </si>
  <si>
    <t>ขอส่งคืนงบประมาณเหลือจ่ายทั้งหมด จำนวน 21,865 บาท เนื่องจากดำเนินการตามแผนเรียบร้อยแล้ว</t>
  </si>
  <si>
    <t>งานจัดซื้อบริการใบรับรองอิเล็กทรอนิกส์ (Certificate Authority)</t>
  </si>
  <si>
    <t>69M4-71012</t>
  </si>
  <si>
    <t>สดส.</t>
  </si>
  <si>
    <t>ดำเนินการเบิกจ่ายแล้ว ขอคืนเงินเหลือจ่าย 440 บาท</t>
  </si>
  <si>
    <t>ค่าจ้างบริการดูแลและบำรุงรักษาระบบสารสนเทศและระบบฐานข้อมูลด้านสิทธิมนุษยชน</t>
  </si>
  <si>
    <t>69T5-71010</t>
  </si>
  <si>
    <t>ดำเนินการเบิกจ่ายแล้ว ขอคืนเงินเหลือจ่าย 15,630 บาท</t>
  </si>
  <si>
    <t>ค่าใช้จ่ายพัฒนาศูนย์สารสนเทศสิทธิมนุษยชน</t>
  </si>
  <si>
    <t>69T5-82013</t>
  </si>
  <si>
    <t>ดำเนินการเบิกจ่ายแล้ว ขอคืนเงินเหลือจ่าย 784.63 บาท</t>
  </si>
  <si>
    <t xml:space="preserve">    รวม ค่าใช้จ่ายดำเนินงานพื้นฐาน (ผลผลิต: การส่งเสริม/คุ้มครองสิทธิมนุษยชน)</t>
  </si>
  <si>
    <t xml:space="preserve">    ค่าใช้จ่ายโครงการเชิงยุทธศาสตร์ (ผลผลิต: การส่งเสริม/คุ้มครองสิทธิมนุษยชน)</t>
  </si>
  <si>
    <t>โครงการพัฒนาศักยภาพและขีดสมรรถนะบุคลากรสำนักงาน กสม.</t>
  </si>
  <si>
    <t>69M1-13408</t>
  </si>
  <si>
    <t>ดำเนินกิจกรรมภายใต้โครงการไปแล้วบางส่วน มีเงินเหลือจ่าย ขอส่งคืนงบประมาณ 60,069.24 บาท ส่วนที่เหลือ 224,845 บาท มีแผนดำเนินการต่อในเดือน ส.ค.-ก.ย. 69 (ฝึกอบรมหน่วยงานภายนอก, หลักสูตรพนักงานเจ้าหน้าที่ รุ่นที่ 5 ช่วงที่ 3, หลักสูตร Human Rights Due Diligence)</t>
  </si>
  <si>
    <t>1.1 การอบรมวิทยากรกระบวนการ (Training of Trainers) — โครงการเสริมสร้างความรู้ ความเข้าใจ และความตระหนักด้านสิทธิมนุษยชน</t>
  </si>
  <si>
    <t>69M1-13104</t>
  </si>
  <si>
    <t>ดำเนินการจัดกิจกรรมเรียบร้อยแล้ว มีเงินเหลือจ่ายขอคืน 10,936.93 บาท</t>
  </si>
  <si>
    <t>1.2 การอบรมเชิงปฏิบัติการเพื่อส่งเสริมการจัดการเรียนการสอนด้านสิทธิมนุษยชนในระดับอุดมศึกษา</t>
  </si>
  <si>
    <t>ดำเนินการจัดกิจกรรมเรียบร้อยแล้ว มีเงินเหลือจ่ายขอคืน 18,428 บาท</t>
  </si>
  <si>
    <t>1.5 การพัฒนาองค์ความรู้ด้านสิทธิเชิงกระบวนการในการมีส่วนร่วมของประชาชน</t>
  </si>
  <si>
    <t>ดำเนินการจัดกิจกรรมเรียบร้อยแล้ว มีเงินเหลือจ่ายขอคืน 42,274.90 บาท</t>
  </si>
  <si>
    <t>1.6 การอบรมเชิงปฏิบัติการพัฒนาศักยภาพสำหรับนักปกป้องสิทธิมนุษยชนที่ขับเคลื่อนงานในพื้นที่ภาคใต้</t>
  </si>
  <si>
    <t>ดำเนินการจัดกิจกรรมเรียบร้อยแล้ว มีเงินเหลือจ่ายขอคืน 52,231.40 บาท</t>
  </si>
  <si>
    <t>1.8 การเสริมสร้างทักษะการจัดกิจกรรมด้านการส่งเสริมสิทธิมนุษยชนแก่องค์กรภาคีเครือข่าย</t>
  </si>
  <si>
    <t>ดำเนินการจัดกิจกรรมเรียบร้อยแล้ว มีเงินเหลือจ่ายขอคืน 46,500 บาท</t>
  </si>
  <si>
    <t>1.9 Hack for Rights: พลังเยาวชน สร้างสรรค์นวัตกรรมสิทธิมนุษยชน</t>
  </si>
  <si>
    <t>ดำเนินการจัดกิจกรรมเรียบร้อยแล้ว มีเงินเหลือจ่ายขอคืน 4,000 บาท</t>
  </si>
  <si>
    <t>2.3.2 การจัดทำสื่อการเรียนรู้หลักสูตรและคู่มือการเรียนรู้ด้านสิทธิมนุษยชนและสิทธิทางสิ่งแวดล้อม</t>
  </si>
  <si>
    <t>69M1-13105</t>
  </si>
  <si>
    <t>กิจกรรมต่อเนื่องจากข้อ 2.3.1 ซึ่งยังอยู่ระหว่างพัฒนาข้อมูลให้ครบถ้วน จึงยังไม่สามารถผลิตสื่อและคู่มือได้ในปีนี้ ขอคืนเงินทั้งจำนวน 100,000 บาท</t>
  </si>
  <si>
    <t>โครงการสื่อสารสาธารณะด้านสิทธิมนุษยชน</t>
  </si>
  <si>
    <t>69M1-13410</t>
  </si>
  <si>
    <t>ดำเนินการจัดกิจกรรมเรียบร้อยแล้ว มีเงินเหลือจ่ายขอคืน 17.73 บาท</t>
  </si>
  <si>
    <t>โครงการเฝ้าระวังและประเมินสถานการณ์ด้านสิทธิมนุษยชน</t>
  </si>
  <si>
    <t>69T5-13206</t>
  </si>
  <si>
    <t>สฝป.</t>
  </si>
  <si>
    <t>ดำเนินโครงการตามแผนแล้วเสร็จ ขอส่งคืนงบประมาณเหลือจ่าย 35,171 บาท</t>
  </si>
  <si>
    <t>โครงการเปิดตัวรายงานผลการประเมินสถานการณ์ด้านสิทธิมนุษยชนของประเทศไทย ปี 2568</t>
  </si>
  <si>
    <t>69T5-13207</t>
  </si>
  <si>
    <t>ดำเนินโครงการตามแผนแล้วเสร็จ ขอส่งคืนงบประมาณเหลือจ่ายเพิ่มเติม 460 บาท</t>
  </si>
  <si>
    <t>โครงการจัดซื้อครุภัณฑ์เพื่อให้บริการของศูนย์สารสนเทศสิทธิมนุษยชน</t>
  </si>
  <si>
    <t>69M4-13413</t>
  </si>
  <si>
    <t>ดำเนินการเบิกจ่ายแล้ว ขอคืนเงินเหลือจ่าย 3 บาท</t>
  </si>
  <si>
    <t xml:space="preserve">    รวม ค่าใช้จ่ายโครงการเชิงยุทธศาสตร์ (ผลผลิต: การส่งเสริม/คุ้มครองสิทธิมนุษยชน)</t>
  </si>
  <si>
    <t>รวม 2. แผนงานพื้นฐานด้านการปรับสมดุลและพัฒนาระบบการบริหารจัดการภาครัฐ</t>
  </si>
  <si>
    <t>4. แผนงานยุทธศาสตร์ส่งเสริมความสัมพันธ์ระหว่างประเทศ</t>
  </si>
  <si>
    <t>ค่าสาธารณูปโภค</t>
  </si>
  <si>
    <t>69A1-11001</t>
  </si>
  <si>
    <t>พื้นที่ภาคใต้</t>
  </si>
  <si>
    <t>ขอคืนเงินงบประมาณเหลือจ่ายค่าสาธารณูปโภค 48,006.74 บาท กันเงินไว้ 74,800 บาท สำหรับค่าไฟฟ้า ค่าประปา ค่าไปรษณีย์และอากรแสตมป์ และค่าบริการสื่อสารโทรคมนาคมที่ต้องเบิกจ่ายในช่วง 2 เดือนหลัง</t>
  </si>
  <si>
    <t>งานบริหารทั่วไปของสำนักงาน กสม. พื้นที่ภาคใต้</t>
  </si>
  <si>
    <t>69A1-12001</t>
  </si>
  <si>
    <t>ขอคืนเงินงบประมาณเหลือจ่าย 33,043 บาท กันเงินไว้ 104,332 บาท สำหรับค่าใช้จ่ายเดินทางไปราชการ ค่าจัดสถานที่งานถวายสัตย์ ค่าอบรมพนักงานเจ้าหน้าที่ และค่าประชุมสำนักงานประจำเดือน</t>
  </si>
  <si>
    <t>งานยานพาหนะ</t>
  </si>
  <si>
    <t>69A1-12002</t>
  </si>
  <si>
    <t>ขอคืนเงินงบประมาณเหลือจ่าย 15,140 บาท กันเงินไว้เป็นค่าน้ำมันเชื้อเพลิงรถยนต์ราชการ 8,000 บาท</t>
  </si>
  <si>
    <t>ค่าใช้จ่ายในการลงพื้นที่ตรวจสอบข้อเท็จจริง</t>
  </si>
  <si>
    <t>69A1-12004</t>
  </si>
  <si>
    <t>ขอคืนเงินงบประมาณเหลือจ่าย 310,463 บาท กันเงินไว้ 50,000 บาท สำหรับการลงพื้นที่ตรวจสอบข้อเท็จจริง 2 ครั้งในช่วง 2 เดือนหลัง</t>
  </si>
  <si>
    <t>ครุภัณฑ์ (69A1-10601, 69A1-10602, 69A1-10603)</t>
  </si>
  <si>
    <t>69A1-10601/10602/10603</t>
  </si>
  <si>
    <t>เป็นงบประมาณเหลือจ่ายจากการผูกพันสัญญา ไม่มีงบประมาณคงเหลือสำหรับใช้จ่ายในช่วง 2 เดือนหลัง ขอคืนเงินทั้งหมด 1,710 บาท</t>
  </si>
  <si>
    <t>โครงการค่ายเยาวชนสร้างสรรค์วัฒนธรรมสิทธิมนุษยชนในพื้นที่ภาคใต้</t>
  </si>
  <si>
    <t>69A1-13101</t>
  </si>
  <si>
    <t>ดำเนินโครงการเสร็จสิ้นแล้ว ขอคืนเงินงบประมาณเหลือจ่ายทั้งหมด 38,175 บาท</t>
  </si>
  <si>
    <t>ค่าใช้จ่ายสำหรับงานยานพาหนะของสำนักงาน กสม. พื้นที่ภาคตะวันออกเฉียงเหนือ</t>
  </si>
  <si>
    <t>69A2-22002</t>
  </si>
  <si>
    <t>พื้นที่ภาคอีสาน</t>
  </si>
  <si>
    <t>ประมาณการค่าใช้จ่ายด้านยานพาหนะในช่วงเดือน ส.ค.-ก.ย. 69 รวม 5,000 บาท (เดือนละ 2,500 บาท) ขอคืนเงินงบประมาณคงเหลือ 36,230 บาท</t>
  </si>
  <si>
    <t>69A3-32004</t>
  </si>
  <si>
    <t>พื้นที่ภาคเหนือ</t>
  </si>
  <si>
    <t>เพื่อให้การบริหารงบประมาณสอดคล้องกับภารกิจเรื่องร้องเรียนของกลุ่มงานคุ้มครองสิทธิมนุษยชน ขอคืนเงิน 158,982 บาท กันเงินไว้ 50,000 บาท สำหรับการลงพื้นที่และจัดประชุมกรณีร้องเรียนในช่วง 2 เดือนหลัง</t>
  </si>
  <si>
    <t>รวม 4. แผนงานยุทธศาสตร์ส่งเสริมความสัมพันธ์ระหว่างประเทศ</t>
  </si>
  <si>
    <t>5. แผนงานยุทธศาสตร์พัฒนาบริการประชาชนและพัฒนาประสิทธิภาพภาครัฐ</t>
  </si>
  <si>
    <t>โครงการสนับสนุนการพัฒนาระบบสารสนเทศของสำนักงาน กสม. ด้วยโปรแกรมประยุกต์แบบ Low-Code Platform</t>
  </si>
  <si>
    <t>69D2-23401</t>
  </si>
  <si>
    <t>ดำเนินการเบิกจ่ายแล้ว ขอคืนเงินเหลือจ่าย 15,000 บาท</t>
  </si>
  <si>
    <t>โครงการพัฒนาระบบสารสนเทศด้านเฝ้าระวังสถานการณ์ด้านสิทธิมนุษยชน</t>
  </si>
  <si>
    <t>69D2-23607</t>
  </si>
  <si>
    <t>ดำเนินการเบิกจ่ายแล้ว ขอคืนเงินเหลือจ่าย 800,000 บาท</t>
  </si>
  <si>
    <t>รวม 5. แผนงานยุทธศาสตร์พัฒนาบริการประชาชนและพัฒนาประสิทธิภาพภาครัฐ</t>
  </si>
  <si>
    <t>6. แผนงานยุทธศาสตร์สร้างหลักประกันทางสังคม</t>
  </si>
  <si>
    <t>3.1 กิจกรรมการขับเคลื่อนประเด็นสิทธิมนุษยชนร่วมกับเครือข่าย (Social Movement) — เวทีวิชาการส่งเสริมสิทธิเพื่อความเท่าเทียมทางเพศ</t>
  </si>
  <si>
    <t>69O1-13102</t>
  </si>
  <si>
    <t>ดำเนินการจัดกิจกรรมเรียบร้อยแล้ว ขอคืนเงิน 35,180 บาท กันเงินไว้ 100,000 บาท สำหรับเวทีสิทธิในสิ่งแวดล้อมที่ดี</t>
  </si>
  <si>
    <t>3.2 การประชุมเชิงปฏิบัติการเพื่อส่งเสริมการจัดทำนโยบายและแนวปฏิบัติด้านสิทธิมนุษยชน กลุ่มเป้าหมายองค์กรภาคธุรกิจ จำนวน 2 ครั้ง</t>
  </si>
  <si>
    <t>ดำเนินการจัดกิจกรรมเรียบร้อยแล้ว มีเงินเหลือจ่ายขอคืน 30,637 บาท</t>
  </si>
  <si>
    <t>โครงการสมัชชาสิทธิมนุษยชนเนื่องในวันสิทธิมนุษยชนสากล ประจำปี 2569</t>
  </si>
  <si>
    <t>69O1-13305</t>
  </si>
  <si>
    <t>ดำเนินการลงนามสัญญาจ้างเรียบร้อยแล้ว มีเงินเหลือจ่ายขอคืน 12,110 บาท</t>
  </si>
  <si>
    <t>โครงการคลินิกสิทธิมนุษยชน</t>
  </si>
  <si>
    <t>69O1-13308</t>
  </si>
  <si>
    <t>ค่าใช้จ่ายจริงตลอดโครงการต่ำกว่าประมาณการ (ค่าที่พัก ค่าเดินทาง ค่าอาหารในการจัดกิจกรรมน้อยกว่าที่ประมาณการไว้) และปรับแผนการจัดกิจกรรมจาก 4 ครั้ง เหลือ 3 ครั้ง โดยไม่กระทบกลุ่มเป้าหมาย ขอส่งคืนงบประมาณเหลือจ่ายทั้งหมด จำนวน 201,242.05 บาท</t>
  </si>
  <si>
    <t>โครงการขับเคลื่อนและติดตามข้อมติสมัชชาสิทธิมนุษยชน/นโยบาย กสม.</t>
  </si>
  <si>
    <t>68O1-13306</t>
  </si>
  <si>
    <t>ดำเนินโครงการตามแผนแล้วเสร็จ ขอส่งคืนงบประมาณเหลือจ่าย 25,525 บาท ยังคงมีวงเงินคงเหลืออีก 20,000 บาท ที่ยังไม่ได้ขอส่งคืนในครั้งนี้</t>
  </si>
  <si>
    <t>โครงการจัดทำข้อเสนอแนะมาตรการหรือแนวทางในการส่งเสริมและคุ้มครองสิทธิมนุษยชน รวมถึงการแก้ไขปรับปรุงกฎหมาย กฎ ระเบียบ หรือคำสั่งใด ๆ เพื่อให้สอดคล้องกับหลักสิทธิมนุษยชน</t>
  </si>
  <si>
    <t>69O3-33301</t>
  </si>
  <si>
    <t>สกม.</t>
  </si>
  <si>
    <t>ทบทวนแผนการดำเนินงานกิจกรรมย่อยภายใต้โครงการ พบว่ามีงบประมาณเหลือจ่ายจากการยกเลิก/ปรับลดบางกิจกรรม (ยกเลิกการประชุมรับฟังความเห็นแก้ไขระเบียบการเคหะแห่งชาติ ยกเลิกการประชุมขับเคลื่อนสิทธิผู้ต้องขังระหว่างพิจารณาคดี เลื่อนการประชุมร่วมผู้ว่าราชการ 3 จังหวัดชายแดนใต้เนื่องจากสถานการณ์ไม่สงบ และปรับลดค่าจ้างศึกษา/ผลิตสื่อบางรายการ) จึงขอส่งคืนเงินงบประมาณบางส่วน จำนวน 441,688 บาท คงเหลือวงเงินที่ใช้จ่ายได้ในช่วง 2 เดือนหลัง 1,010,000 บาท</t>
  </si>
  <si>
    <t>งานสมัชชา ประเด็นสิทธิในกระบวนการยุติธรรม</t>
  </si>
  <si>
    <t>68O1-13313</t>
  </si>
  <si>
    <t>จัดกิจกรรมสมัชชาสิทธิมนุษยชนภายใต้หัวข้อ "Restart ชีวิต คืนสิทธิในสังคม" ซึ่งมีกลุ่มเป้าหมายเดียวกันกับที่กำหนดไว้ในแผนงานนี้ สามารถนำข้อมูลมาใช้ประกอบการดำเนินงานได้ ขอส่งคืนเงินงบประมาณทั้งจำนวน 98,750 บาท</t>
  </si>
  <si>
    <t>การดำเนินงานสมัชชา ประเด็นสิทธิผู้สูงอายุ</t>
  </si>
  <si>
    <t>68O1-13316</t>
  </si>
  <si>
    <t>ดำเนินการแล้วเสร็จตามแผน จึงขอส่งคืนเงินงบประมาณทั้งจำนวน 46,710 บาท</t>
  </si>
  <si>
    <t>69O1-13309</t>
  </si>
  <si>
    <t>ดำเนินโครงการเสร็จสิ้นแล้ว ขอคืนเงินงบประมาณเหลือจ่ายทั้งหมด 118,175 บาท</t>
  </si>
  <si>
    <t>โครงการคลินิกสิทธิมนุษยชน เพื่อแก้ไขปัญหาสิทธิมนุษยชนในพื้นที่ภาคเหนือ</t>
  </si>
  <si>
    <t>69O1-13311</t>
  </si>
  <si>
    <t>ดำเนินกิจกรรมแล้วเสร็จ ไม่มีงบประมาณคงเหลือสำหรับดำเนินการในช่วง 2 เดือนหลัง ขอส่งคืนงบประมาณเหลือจ่าย 187,419.08 บาท</t>
  </si>
  <si>
    <t>รวม 6. แผนงานยุทธศาสตร์สร้างหลักประกันทางสังคม</t>
  </si>
  <si>
    <t>รวมจำนวนเงินที่ขอส่งคืน</t>
  </si>
  <si>
    <t>หมายเหตุ: หลักเกณฑ์การพิจารณาสำหรับรายการขอส่งคืนเงินงบประมาณจากการดำเนินงาน/ก่อหนี้ผูกพันแล้วเสร็จ และหรือการปรับแผนการดำเนินงานและแผนการใช้จ่ายงบประมาณ</t>
  </si>
  <si>
    <t>กรณีดำเนินการแล้วเสร็จ - กสม. อนุมัติ ตามระเบียบฯ ข้อ 14 และข้อ 15 วรรคท้าย</t>
  </si>
  <si>
    <t>3.2.2 รายการขอรับจัดสรรเงินงบประมาณเพิ่มเติม (11 รายการ)</t>
  </si>
  <si>
    <t>จำนวนเงิน
ที่ขอเพิ่ม</t>
  </si>
  <si>
    <t>งานตรวจสอบเรื่องร้องเรียนการละเมิดสิทธิมนุษยชนของ สรส.</t>
  </si>
  <si>
    <t>69T4-82018</t>
  </si>
  <si>
    <t>สรส.</t>
  </si>
  <si>
    <t>สรส. ทบทวนแผนการดำเนินงาน พบว่ายังมีภารกิจที่ต้องดำเนินการในช่วง 2 เดือนหลัง (ส.ค.-ก.ย.) ซึ่งงบประมาณคงเหลือไม่เพียงพอสำหรับการประชุมประสานการคุ้มครองสิทธิมนุษยชนและการลงพื้นที่หาข้อเท็จจริง จึงขอรับจัดสรรเงินเพิ่ม 100,000 บาท วงเงินงบประมาณใหม่ (หลังอนุมัติ) 740,000 บาท วงเงินคงเหลือที่นำมาใช้จ่ายได้ 132,063 บาท</t>
  </si>
  <si>
    <t>จัดซื้อเครื่องทำน้ำร้อน-น้ำเย็น จำนวน 2 เครื่อง</t>
  </si>
  <si>
    <t>รายการใหม่</t>
  </si>
  <si>
    <t>รายการใหม่ สรส. มีความจำเป็นจัดซื้อเครื่องทำน้ำร้อน-น้ำเย็น เนื่องจากเครื่องเดิมชำรุดและใช้งานมานาน (ปี 2558) และเพื่อรองรับผู้มาร้องเรียน ขอรับจัดสรรเงิน 16,000 บาท วงเงินงบประมาณใหม่ (หลังอนุมัติ) 16,000 บาท วงเงินคงเหลือที่นำมาใช้จ่ายได้ 16,000 บาท</t>
  </si>
  <si>
    <t>งานตรวจสอบเรื่องร้องเรียนการละเมิดสิทธิมนุษยชนของ สคส.1</t>
  </si>
  <si>
    <t>69T4-82016</t>
  </si>
  <si>
    <t>สคส.1 ทบทวนแผนการดำเนินงาน พบว่ามีภารกิจที่ต้องดำเนินการในช่วง 2 เดือนหลัง ใช้งบประมาณ 306,000 บาท ซึ่งงบประมาณคงเหลือไม่เพียงพอ จึงขอรับจัดสรรเงินเพิ่ม 232,000 บาท สำหรับการลงพื้นที่ตรวจสอบข้อเท็จจริงและติดตามข้อเสนอแนะตามคำร้องหลายเรื่อง วงเงินงบประมาณใหม่ (หลังอนุมัติ) 2,976,000 บาท วงเงินคงเหลือที่นำมาใช้จ่ายได้ 306,984.80 บาท</t>
  </si>
  <si>
    <t>69M1-82201</t>
  </si>
  <si>
    <t>ราคาน้ำมันเชื้อเพลิงปรับสูงขึ้นต่อเนื่อง ประกอบกับมีภารกิจเดินทางไปราชการภายในกรุงเทพฯ จำนวนมาก ขอรับจัดสรรเงินเพิ่ม 20,000 บาท วงเงินงบประมาณใหม่ (หลังอนุมัติ) 220,327.36 บาท วงเงินคงเหลือที่นำมาใช้จ่ายได้ 37,241 บาท</t>
  </si>
  <si>
    <t>69M1-81202</t>
  </si>
  <si>
    <t>ค่าสาธารณูปโภคมีแนวโน้มสูงขึ้น (ค่าไฟฟ้า ค่าปรับอากาศหล่อเย็น ค่าโทรศัพท์ ค่าอินเทอร์เน็ต ค่าน้ำประปา ค่าไปรษณีย์) งบประมาณคงเหลือไม่เพียงพอสำหรับเบิกจ่ายจริงตามใบแจ้งหนี้ช่วง ส.ค.-ก.ย. 69 ขอรับจัดสรรเงินเพิ่ม 410,000 บาท วงเงินงบประมาณใหม่ (หลังอนุมัติ) 8,810,000 บาท วงเงินคงเหลือที่นำมาใช้จ่ายได้ 1,727,570.22 บาท</t>
  </si>
  <si>
    <t>งานจัดซื้อครุภัณฑ์สำนักงาน (รถเข็นของแบบ 4 ล้อ จำนวน 3 คัน)</t>
  </si>
  <si>
    <t>รายการใหม่ รายการนี้ถูกตัดออกจากงบประมาณปี 2570 แต่มีความจำเป็นต้องใช้ในภารกิจขนย้ายครุภัณฑ์และจัดสถานที่จัดงาน ขอรับจัดสรรเงิน 10,000 บาท วงเงินงบประมาณใหม่ (หลังอนุมัติ) 10,000 บาท วงเงินคงเหลือที่นำมาใช้จ่ายได้ 10,000 บาท</t>
  </si>
  <si>
    <t>งานบริหารทั่วไปสำนักส่งเสริมการเคารพสิทธิมนุษยชน</t>
  </si>
  <si>
    <t>69M1-82007</t>
  </si>
  <si>
    <t>ขอรับจัดสรรเงินเพิ่ม 23,763 บาท เพื่อใช้ในการดำเนินงานบริหารทั่วไปของสำนัก วงเงินงบประมาณใหม่ (หลังอนุมัติ) 143,763 บาท วงเงินคงเหลือที่นำมาใช้จ่ายได้ 46,500 บาท</t>
  </si>
  <si>
    <t>จัดซื้อฮาร์ดดิสก์เครื่องบันทึกภาพจากกล้องวงจรปิด (พร้อมติดตั้ง)</t>
  </si>
  <si>
    <t>รายการใหม่ ครุภัณฑ์เดิมชำรุดจากการใช้งาน ขอรับจัดสรรเงิน 17,400 บาท วงเงินงบประมาณใหม่ (หลังอนุมัติ) 17,400 บาท</t>
  </si>
  <si>
    <t>งานประสานความร่วมมือกับภาคีเครือข่ายในพื้นที่ภาคใต้</t>
  </si>
  <si>
    <t>69A1-12005</t>
  </si>
  <si>
    <t>ยังมีภารกิจเดินทางไปราชการที่ต้องดำเนินการในช่วง 2 เดือนหลัง (ส.ค.-ก.ย. 69) ซึ่งงบประมาณคงเหลือไม่เพียงพอ ขอรับจัดสรรเงินเพิ่ม 36,000 บาท วงเงินงบประมาณใหม่ (หลังอนุมัติ) 560,000 บาท วงเงินคงเหลือที่นำมาใช้จ่ายได้ 85,993.80 บาท</t>
  </si>
  <si>
    <t>งานบริหารทั่วไปสำนักงาน กสม. พื้นที่ภาคเหนือ</t>
  </si>
  <si>
    <t>69A3-32001</t>
  </si>
  <si>
    <t>ยังมีภารกิจที่ต้องดำเนินการในช่วง 2 เดือนหลัง (ส.ค.-ก.ย. 69) ได้แก่ การประชุมสำนัก การเข้าร่วมสมัชชาสิทธิมนุษยชน การอบรมหลักสูตรพนักงานเจ้าหน้าที่ การเดินทางเข้ารับการเลือกสรรผู้อำนวยการสำนักงาน และการเดินทางของผู้บริหาร ขอรับจัดสรรเงินเพิ่ม 31,934 บาท วงเงินงบประมาณใหม่ (หลังอนุมัติ) 444,684 บาท วงเงินคงเหลือที่นำมาใช้จ่ายได้ 82,174 บาท</t>
  </si>
  <si>
    <t>โครงการฝึกอบรมเชิงปฏิบัติการเตรียมความพร้อมการนำปัญญาประดิษฐ์ (AI) มาใช้ในงาน หลักสูตร "AI Agent และ Agentic AI สำหรับองค์กร"</t>
  </si>
  <si>
    <t>รายการใหม่ ตามมติที่ประชุมเตรียมความพร้อมการดำเนินโครงการพัฒนาระบบสนับสนุนการจัดการข้อมูลสำนักงาน กสม. ครั้งที่ 1/2569 (24 ก.ค. 69) มอบหมายให้ สดส. ดำเนินการ ขอรับจัดสรรเงิน 115,800 บาท วงเงินงบประมาณใหม่ (หลังอนุมัติ) 115,800 บาท วงเงินคงเหลือที่นำมาใช้จ่ายได้ 115,800 บาท</t>
  </si>
  <si>
    <t>รวมจำนวนเงินที่ขอเพิ่ม</t>
  </si>
  <si>
    <t>หมายเหตุ : หลักเกณฑ์การพิจารณาสำหรับรายการขอรับจัดสรรงบประมาณเพิ่มเติม</t>
  </si>
  <si>
    <t xml:space="preserve">กรณีรายการใหม่ - กสม. อนุมัติ ตาม พรป.กสม. พ.ศ. 2560 ม.57 วรรคสอง  </t>
  </si>
  <si>
    <t>กรณีรายการเดิม (รายการที่มีรหัสกิจกรรม) - กสม. อนุมัติ ตามระเบียบฯ ข้อ 14 และข้อ 15 วรรคท้าย</t>
  </si>
  <si>
    <t>สรุปจำแนกรายการขอส่งคืนเงินงบประมาณ (ครั้งที่ 3) : ยกเลิกกิจกรรม vs ปรับแผนการดำเนินงาน</t>
  </si>
  <si>
    <t>หลักเกณฑ์: จัดเป็น "ยกเลิกกิจกรรม" เฉพาะกรณีที่หน่วยงานระบุชัดเจนในเอกสารว่ายกเลิกงาน/กิจกรรมนั้น ๆ ส่วนกรณีเลื่อนการดำเนินงาน (เลื่อน) ให้ถือเป็น "ปรับแผนการดำเนินงาน" ไม่ใช่การยกเลิก</t>
  </si>
  <si>
    <t>การจำแนก</t>
  </si>
  <si>
    <t>ปรับแผนการดำเนินงาน</t>
  </si>
  <si>
    <t>ผสม (มีทั้งยกเลิกและปรับแผนในกิจกรรมย่อย)</t>
  </si>
  <si>
    <t xml:space="preserve">    1.2 (1) ยกเลิกการประชุมรับฟังความเห็นเกี่ยวกับการแก้ไขระเบียบการเคหะแห่งชาติว่าด้วยคณะกรรมการชุมชน  — ระบุชัดเจนในเอกสารต้นทางว่า “ยกเลิกงานและขอคืนเงิน จำนวน 30,000 บาท”</t>
  </si>
  <si>
    <t>ยกเลิกกิจกรรม</t>
  </si>
  <si>
    <t xml:space="preserve">    1.2 (2) ยกเลิกการประชุมขับเคลื่อนสิทธิของผู้ต้องขังระหว่างพิจารณาคดีฯ (พื้นที่เรือนจำนำร่อง) 2 ครั้ง  — ระบุชัดเจนว่า “ยกเลิกงานและขอคืนเงิน จำนวน 72,911 บาท” (เรือนจำนำร่องในพื้นที่ต่างจังหวัดยังไม่พร้อม จึงปรับไปจัดที่กรุงเทพฯ แทน)</t>
  </si>
  <si>
    <t xml:space="preserve">    1.3 (1) ยกเลิกการประชุมเชิงปฏิบัติการหารือเชิงนโยบายร่วมกับพรรคการเมือง/หน่วยงาน เพื่อแสวงหาทางแก้ไขความรุนแรงในพื้นที่ 3 จชต.  — ระบุชัดเจนว่า “ยกเลิกงานและขอคืนเงิน จำนวน 80,000 บาท”</t>
  </si>
  <si>
    <t xml:space="preserve">    1.3 (2) ยกเลิกการเสวนาเพื่อสะท้อนปัญหาความรุนแรงในพื้นที่สามจังหวัดชายแดนภาคใต้  — ระบุชัดเจนว่า “ยกเลิกงานและขอคืนเงิน จำนวน 127,000 บาท”</t>
  </si>
  <si>
    <t xml:space="preserve">    1.3 (3) การประชุมเชิงปฏิบัติการ/สัมมนา/เสวนา กรณีการยกเลิกโทษประหารชีวิต  — ต้นทางใช้คำว่า “ขอยกเลิกกิจกรรม” แต่เหตุผลคือ “กำหนดเวลาจัดงานยังไม่ตรงกัน” กับภาคีเครือข่าย ซึ่งเป็นกรณีเลื่อน/ไม่ลงตัวเรื่องกำหนดการ จึงจัดเป็นปรับแผนตามหลักเกณฑ์ที่กำหนด (ไม่มีมูลค่าเงินคืนแยกเฉพาะรายการนี้)</t>
  </si>
  <si>
    <t xml:space="preserve">    1.3 (4) เงินเหลือจ่ายจากการประชุมเรื่องอื่น ๆ ที่ได้ก่อหนี้ผูกพันไว้ก่อนการปรับแผนครั้งที่ 1  — เป็นเงินเหลือจ่ายจากกิจกรรมที่ดำเนินการ/ก่อหนี้แล้ว ไม่ใช่การยกเลิกงาน (ส่วนหนึ่งของยอดลด 218,777 บาท ของหัวข้อ 1.3 ร่วมกับ 2 รายการยกเลิกข้างต้น 207,000 บาท)</t>
  </si>
  <si>
    <t xml:space="preserve">    1.5 เหลือจ่ายค่าจ้างบุคคลศึกษาวิเคราะห์สถานการณ์แรงงานแพลตฟอร์ม (วงเงินอนุมัติ 950,000 บาท ต่ำกว่าที่กันไว้เดิม)  — ดำเนินการจ้างตามมติ กสม. ด้านบริหารแล้ว มีเงินเหลือจ่ายจากวงเงินที่กันไว้ ไม่ใช่การยกเลิกงาน</t>
  </si>
  <si>
    <t xml:space="preserve">    1.6 ยกเลิกการจัดซื้อจัดจ้างทำเอกสารข้อเสนอแนะบูรณาการจัดการความเสียหายจากช้างป่าและเยียวยาผู้ได้รับผลกระทบ  — ระบุชัดเจนว่า “ยกเลิกงานและขอคืนเงิน จำนวน 70,000 บาท” เนื่องจากข้อมูลยังไม่สมบูรณ์ จัดจ้างไม่ทันในปีงบประมาณ 2569</t>
  </si>
  <si>
    <t xml:space="preserve">    รวมกิจกรรมย่อยข้างต้น = 441,688.00 บาท (ตรงกับยอดขอคืนรวมของโครงการนี้ 441,688.00 บาท)</t>
  </si>
  <si>
    <t>สรุปจำนวนรายการ:</t>
  </si>
  <si>
    <t xml:space="preserve">  - ยกเลิกกิจกรรม : 0 รายการหลัก + 5 กิจกรรมย่อยภายในโครงการผสม รวมมูลค่า 379,911.00 บาท</t>
  </si>
  <si>
    <t xml:space="preserve">  - ปรับแผนการดำเนินงาน : 42 รายการหลัก + 3 กิจกรรมย่อยภายในโครงการผสม รวมมูลค่า 3,403,107.55 บาท</t>
  </si>
  <si>
    <t xml:space="preserve">  - ผสม (มีทั้งยกเลิกและปรับแผนในกิจกรรมย่อย) (บรรทัดหลัก ไม่นับซ้ำในยอดรวมข้างต้น) : 1 รายการ</t>
  </si>
  <si>
    <t xml:space="preserve">  รวมมูลค่าที่ขอคืนทั้งสิ้น 3,783,018.55 บาท</t>
  </si>
  <si>
    <t>หมายเหตุ: รายการ "โครงการจัดทำข้อเสนอแนะมาตรการหรือแนวทางในการส่งเสริมและคุ้มครองสิทธิมนุษยชน รวมถึงการแก้ไขปรับปรุงกฎหมาย กฎ ระเบียบ หรือคำสั่งใด ๆ เพื่อให้สอดคล้องกับหลักสิทธิมนุษยชน" (สกม., 69O3-33301) เป็นการรวมกิจกรรมย่อยหลายกิจกรรมไว้ในบรรทัดเดียวตามข้อมูลต้นทาง จึงแสดงรายละเอียดกิจกรรมย่อยแยกไว้ใต้บรรทัดหลัก (พื้นหลังสีแดงอ่อน = ยกเลิกกิจกรรม, พื้นหลังสีเขียวอ่อน = ปรับแผนการดำเนินงาน) โดยยึดหลักเกณฑ์เดียวกับรายการอื่นทั้งหมด คือระบุ "ยกเลิก" ชัดเจนในเอกสารต้นทางจึงนับเป็นยกเลิก ส่วนกรณีที่เป็นการเลื่อนกำหนดจัดงาน/กำหนดเวลาไม่ตรงกัน (แม้ต้นทางจะใช้คำว่า "ยกเลิก") และกรณีเงินเหลือจ่ายจากกิจกรรมที่ดำเนินการ/ก่อหนี้แล้ว ถือเป็นปรับแผนการดำเนินงานทั้งหมด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</si>
</sst>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5">
    <font>
      <sz val="11"/>
      <color theme="1"/>
      <name val="TH SarabunPSK"/>
      <family val="2"/>
      <charset val="222"/>
    </font>
    <font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rgb="FFFF0000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1"/>
      <color theme="1"/>
      <name val="TH SarabunPSK"/>
      <family val="2"/>
      <charset val="222"/>
    </font>
    <font>
      <sz val="11"/>
      <color theme="1"/>
      <name val="Calibri"/>
      <family val="2"/>
      <charset val="222"/>
      <scheme val="minor"/>
    </font>
    <font>
      <b/>
      <sz val="16"/>
      <color rgb="FFFF0000"/>
      <name val="TH SarabunPSK"/>
    </font>
    <font>
      <b/>
      <sz val="14"/>
      <color theme="1"/>
      <name val="TH SarabunPSK"/>
    </font>
    <font>
      <b/>
      <sz val="12"/>
      <color theme="1"/>
      <name val="TH SarabunPSK"/>
    </font>
    <font>
      <b/>
      <sz val="14"/>
      <name val="TH SarabunPSK"/>
    </font>
    <font>
      <sz val="14"/>
      <color rgb="FFFF0000"/>
      <name val="TH SarabunPSK"/>
    </font>
    <font>
      <sz val="12"/>
      <color rgb="FFFF0000"/>
      <name val="TH SarabunPSK"/>
    </font>
    <font>
      <b/>
      <sz val="14"/>
      <color rgb="FFFF0000"/>
      <name val="TH SarabunPSK"/>
    </font>
    <font>
      <b/>
      <sz val="12"/>
      <color rgb="FFFF0000"/>
      <name val="TH SarabunPSK"/>
    </font>
    <font>
      <sz val="11"/>
      <color rgb="FFFF0000"/>
      <name val="TH SarabunPSK"/>
    </font>
    <font>
      <sz val="14"/>
      <name val="TH SarabunPSK"/>
    </font>
    <font>
      <sz val="11"/>
      <name val="TH SarabunPSK"/>
    </font>
    <font>
      <b/>
      <sz val="16"/>
      <color theme="1"/>
      <name val="TH SarabunPSK"/>
    </font>
    <font>
      <sz val="16"/>
      <color rgb="FFFF0000"/>
      <name val="TH SarabunPSK"/>
    </font>
    <font>
      <b/>
      <sz val="11"/>
      <name val="TH SarabunPSK"/>
    </font>
    <font>
      <b/>
      <sz val="16"/>
      <color rgb="FFFF0000"/>
      <name val="TH Sarabun New"/>
      <family val="2"/>
    </font>
    <font>
      <sz val="11"/>
      <color theme="1"/>
      <name val="TH Sarabun New"/>
      <family val="2"/>
    </font>
    <font>
      <i/>
      <sz val="13"/>
      <color rgb="FFFF0000"/>
      <name val="TH Sarabun New"/>
      <family val="2"/>
    </font>
    <font>
      <b/>
      <sz val="14"/>
      <name val="TH Sarabun New"/>
      <family val="2"/>
    </font>
    <font>
      <sz val="14"/>
      <color rgb="FFFF0000"/>
      <name val="TH Sarabun New"/>
      <family val="2"/>
    </font>
    <font>
      <i/>
      <sz val="12.5"/>
      <color rgb="FFFF0000"/>
      <name val="TH Sarabun New"/>
      <family val="2"/>
    </font>
    <font>
      <b/>
      <sz val="12"/>
      <color rgb="FFFF0000"/>
      <name val="TH Sarabun New"/>
      <family val="2"/>
    </font>
    <font>
      <b/>
      <sz val="14"/>
      <color rgb="FFFF0000"/>
      <name val="TH Sarabun New"/>
      <family val="2"/>
    </font>
    <font>
      <i/>
      <sz val="12"/>
      <color rgb="FFFF0000"/>
      <name val="TH Sarabun Ne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EAF3EA"/>
      </patternFill>
    </fill>
    <fill>
      <patternFill patternType="solid">
        <fgColor rgb="FFFCE4E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0" fillId="0" borderId="0"/>
    <xf numFmtId="0" fontId="11" fillId="0" borderId="0"/>
    <xf numFmtId="43" fontId="11" fillId="0" borderId="0"/>
  </cellStyleXfs>
  <cellXfs count="147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/>
    </xf>
    <xf numFmtId="4" fontId="5" fillId="0" borderId="0" xfId="0" applyNumberFormat="1" applyFont="1" applyAlignment="1">
      <alignment horizontal="right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43" fontId="5" fillId="0" borderId="1" xfId="1" applyFont="1" applyBorder="1" applyAlignment="1">
      <alignment horizontal="right" vertical="top"/>
    </xf>
    <xf numFmtId="43" fontId="6" fillId="2" borderId="1" xfId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5" fillId="0" borderId="0" xfId="1" applyFont="1" applyAlignment="1">
      <alignment horizontal="right"/>
    </xf>
    <xf numFmtId="0" fontId="5" fillId="0" borderId="1" xfId="0" applyFont="1" applyBorder="1" applyAlignment="1">
      <alignment horizontal="center" vertical="top" wrapText="1"/>
    </xf>
    <xf numFmtId="43" fontId="3" fillId="0" borderId="0" xfId="1" applyFont="1" applyAlignment="1">
      <alignment horizontal="left" vertical="top"/>
    </xf>
    <xf numFmtId="0" fontId="5" fillId="4" borderId="0" xfId="0" applyFont="1" applyFill="1"/>
    <xf numFmtId="43" fontId="6" fillId="3" borderId="1" xfId="1" applyFont="1" applyFill="1" applyBorder="1" applyAlignment="1">
      <alignment horizontal="right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7" fillId="3" borderId="1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0" fillId="0" borderId="5" xfId="0" applyBorder="1"/>
    <xf numFmtId="43" fontId="8" fillId="0" borderId="5" xfId="0" applyNumberFormat="1" applyFont="1" applyBorder="1" applyAlignment="1">
      <alignment vertical="top"/>
    </xf>
    <xf numFmtId="4" fontId="13" fillId="6" borderId="1" xfId="0" applyNumberFormat="1" applyFont="1" applyFill="1" applyBorder="1" applyAlignment="1">
      <alignment horizontal="right" vertical="top"/>
    </xf>
    <xf numFmtId="0" fontId="13" fillId="6" borderId="1" xfId="0" applyFont="1" applyFill="1" applyBorder="1" applyAlignment="1">
      <alignment vertical="top" wrapText="1"/>
    </xf>
    <xf numFmtId="4" fontId="13" fillId="7" borderId="1" xfId="0" applyNumberFormat="1" applyFont="1" applyFill="1" applyBorder="1" applyAlignment="1">
      <alignment horizontal="right" vertical="top"/>
    </xf>
    <xf numFmtId="0" fontId="13" fillId="7" borderId="1" xfId="0" applyFont="1" applyFill="1" applyBorder="1" applyAlignment="1">
      <alignment vertical="top" wrapText="1"/>
    </xf>
    <xf numFmtId="43" fontId="5" fillId="0" borderId="5" xfId="0" applyNumberFormat="1" applyFont="1" applyBorder="1" applyAlignment="1">
      <alignment vertical="top"/>
    </xf>
    <xf numFmtId="0" fontId="16" fillId="0" borderId="1" xfId="0" applyFont="1" applyBorder="1" applyAlignment="1">
      <alignment horizontal="center" vertical="top"/>
    </xf>
    <xf numFmtId="0" fontId="24" fillId="5" borderId="4" xfId="0" applyFont="1" applyFill="1" applyBorder="1" applyAlignment="1">
      <alignment vertical="top"/>
    </xf>
    <xf numFmtId="0" fontId="24" fillId="5" borderId="4" xfId="0" applyFont="1" applyFill="1" applyBorder="1" applyAlignment="1">
      <alignment horizontal="left" vertical="top"/>
    </xf>
    <xf numFmtId="4" fontId="16" fillId="0" borderId="1" xfId="0" applyNumberFormat="1" applyFont="1" applyBorder="1" applyAlignment="1">
      <alignment horizontal="right" vertical="top"/>
    </xf>
    <xf numFmtId="4" fontId="16" fillId="0" borderId="1" xfId="1" applyNumberFormat="1" applyFont="1" applyBorder="1" applyAlignment="1">
      <alignment horizontal="right" vertical="top"/>
    </xf>
    <xf numFmtId="0" fontId="16" fillId="0" borderId="1" xfId="0" applyFont="1" applyBorder="1" applyAlignment="1">
      <alignment vertical="top" wrapText="1"/>
    </xf>
    <xf numFmtId="43" fontId="8" fillId="0" borderId="5" xfId="0" applyNumberFormat="1" applyFont="1" applyBorder="1" applyAlignment="1">
      <alignment vertical="center"/>
    </xf>
    <xf numFmtId="4" fontId="18" fillId="0" borderId="1" xfId="0" applyNumberFormat="1" applyFont="1" applyBorder="1" applyAlignment="1">
      <alignment horizontal="right" vertical="top"/>
    </xf>
    <xf numFmtId="0" fontId="18" fillId="0" borderId="1" xfId="0" applyFont="1" applyBorder="1" applyAlignment="1">
      <alignment vertical="top" wrapText="1"/>
    </xf>
    <xf numFmtId="0" fontId="18" fillId="7" borderId="1" xfId="0" applyFont="1" applyFill="1" applyBorder="1" applyAlignment="1">
      <alignment horizontal="right" vertical="top"/>
    </xf>
    <xf numFmtId="0" fontId="18" fillId="7" borderId="1" xfId="0" applyFont="1" applyFill="1" applyBorder="1" applyAlignment="1">
      <alignment vertical="top" wrapText="1"/>
    </xf>
    <xf numFmtId="4" fontId="18" fillId="7" borderId="1" xfId="0" applyNumberFormat="1" applyFont="1" applyFill="1" applyBorder="1" applyAlignment="1">
      <alignment horizontal="right" vertical="top"/>
    </xf>
    <xf numFmtId="0" fontId="18" fillId="6" borderId="1" xfId="0" applyFont="1" applyFill="1" applyBorder="1" applyAlignment="1">
      <alignment horizontal="right" vertical="top"/>
    </xf>
    <xf numFmtId="0" fontId="18" fillId="6" borderId="1" xfId="0" applyFont="1" applyFill="1" applyBorder="1" applyAlignment="1">
      <alignment vertical="top" wrapText="1"/>
    </xf>
    <xf numFmtId="0" fontId="25" fillId="0" borderId="0" xfId="0" applyFont="1"/>
    <xf numFmtId="0" fontId="22" fillId="0" borderId="0" xfId="0" applyFont="1"/>
    <xf numFmtId="43" fontId="13" fillId="6" borderId="1" xfId="0" applyNumberFormat="1" applyFont="1" applyFill="1" applyBorder="1" applyAlignment="1">
      <alignment horizontal="right" vertical="top" wrapText="1"/>
    </xf>
    <xf numFmtId="0" fontId="15" fillId="6" borderId="1" xfId="0" applyFont="1" applyFill="1" applyBorder="1" applyAlignment="1">
      <alignment horizontal="left" vertical="top" wrapText="1"/>
    </xf>
    <xf numFmtId="43" fontId="13" fillId="7" borderId="1" xfId="0" applyNumberFormat="1" applyFont="1" applyFill="1" applyBorder="1" applyAlignment="1">
      <alignment horizontal="right" vertical="top" wrapText="1"/>
    </xf>
    <xf numFmtId="0" fontId="15" fillId="7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4" fontId="16" fillId="0" borderId="1" xfId="1" applyNumberFormat="1" applyFont="1" applyBorder="1" applyAlignment="1">
      <alignment horizontal="right" vertical="top" wrapText="1"/>
    </xf>
    <xf numFmtId="0" fontId="18" fillId="0" borderId="1" xfId="0" applyFont="1" applyBorder="1" applyAlignment="1">
      <alignment horizontal="left" vertical="top" wrapText="1"/>
    </xf>
    <xf numFmtId="4" fontId="18" fillId="0" borderId="1" xfId="1" applyNumberFormat="1" applyFont="1" applyBorder="1" applyAlignment="1">
      <alignment horizontal="right" vertical="top" wrapText="1"/>
    </xf>
    <xf numFmtId="0" fontId="18" fillId="7" borderId="1" xfId="0" applyFont="1" applyFill="1" applyBorder="1" applyAlignment="1">
      <alignment horizontal="left" vertical="top" wrapText="1"/>
    </xf>
    <xf numFmtId="4" fontId="18" fillId="7" borderId="1" xfId="1" applyNumberFormat="1" applyFont="1" applyFill="1" applyBorder="1" applyAlignment="1">
      <alignment horizontal="right" vertical="top" wrapText="1"/>
    </xf>
    <xf numFmtId="0" fontId="18" fillId="6" borderId="1" xfId="0" applyFont="1" applyFill="1" applyBorder="1" applyAlignment="1">
      <alignment horizontal="left" vertical="top" wrapText="1"/>
    </xf>
    <xf numFmtId="43" fontId="18" fillId="6" borderId="1" xfId="1" applyFont="1" applyFill="1" applyBorder="1" applyAlignment="1">
      <alignment horizontal="right" vertical="top" wrapText="1"/>
    </xf>
    <xf numFmtId="4" fontId="18" fillId="0" borderId="1" xfId="0" applyNumberFormat="1" applyFont="1" applyBorder="1" applyAlignment="1">
      <alignment horizontal="right" vertical="top" wrapText="1"/>
    </xf>
    <xf numFmtId="4" fontId="18" fillId="3" borderId="1" xfId="0" applyNumberFormat="1" applyFont="1" applyFill="1" applyBorder="1" applyAlignment="1">
      <alignment horizontal="right"/>
    </xf>
    <xf numFmtId="0" fontId="16" fillId="3" borderId="1" xfId="0" applyFont="1" applyFill="1" applyBorder="1"/>
    <xf numFmtId="0" fontId="15" fillId="0" borderId="1" xfId="0" applyFont="1" applyBorder="1" applyAlignment="1">
      <alignment horizontal="center" vertical="top"/>
    </xf>
    <xf numFmtId="0" fontId="21" fillId="3" borderId="1" xfId="0" applyFont="1" applyFill="1" applyBorder="1" applyAlignment="1">
      <alignment horizontal="right"/>
    </xf>
    <xf numFmtId="0" fontId="4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8" fillId="7" borderId="1" xfId="0" applyFont="1" applyFill="1" applyBorder="1" applyAlignment="1">
      <alignment horizontal="center" vertical="top"/>
    </xf>
    <xf numFmtId="0" fontId="12" fillId="7" borderId="4" xfId="0" applyFont="1" applyFill="1" applyBorder="1" applyAlignment="1">
      <alignment vertical="top"/>
    </xf>
    <xf numFmtId="0" fontId="12" fillId="7" borderId="4" xfId="0" applyFont="1" applyFill="1" applyBorder="1" applyAlignment="1">
      <alignment horizontal="left" vertical="top"/>
    </xf>
    <xf numFmtId="0" fontId="18" fillId="7" borderId="1" xfId="0" applyFont="1" applyFill="1" applyBorder="1" applyAlignment="1">
      <alignment horizontal="right" vertical="top"/>
    </xf>
    <xf numFmtId="0" fontId="18" fillId="0" borderId="1" xfId="0" applyFont="1" applyBorder="1" applyAlignment="1">
      <alignment horizontal="center" vertical="top"/>
    </xf>
    <xf numFmtId="0" fontId="12" fillId="5" borderId="4" xfId="0" applyFont="1" applyFill="1" applyBorder="1" applyAlignment="1">
      <alignment vertical="top"/>
    </xf>
    <xf numFmtId="0" fontId="12" fillId="5" borderId="4" xfId="0" applyFont="1" applyFill="1" applyBorder="1" applyAlignment="1">
      <alignment horizontal="left" vertical="top"/>
    </xf>
    <xf numFmtId="0" fontId="18" fillId="0" borderId="1" xfId="0" applyFont="1" applyBorder="1" applyAlignment="1">
      <alignment horizontal="right" vertical="top"/>
    </xf>
    <xf numFmtId="0" fontId="16" fillId="0" borderId="1" xfId="0" applyFont="1" applyBorder="1" applyAlignment="1">
      <alignment horizontal="center" vertical="top"/>
    </xf>
    <xf numFmtId="0" fontId="20" fillId="0" borderId="2" xfId="0" applyFont="1" applyBorder="1"/>
    <xf numFmtId="0" fontId="20" fillId="0" borderId="3" xfId="0" applyFont="1" applyBorder="1"/>
    <xf numFmtId="0" fontId="18" fillId="6" borderId="1" xfId="0" applyFont="1" applyFill="1" applyBorder="1" applyAlignment="1">
      <alignment horizontal="center" vertical="top"/>
    </xf>
    <xf numFmtId="0" fontId="12" fillId="6" borderId="4" xfId="0" applyFont="1" applyFill="1" applyBorder="1" applyAlignment="1">
      <alignment vertical="top"/>
    </xf>
    <xf numFmtId="0" fontId="12" fillId="6" borderId="4" xfId="0" applyFont="1" applyFill="1" applyBorder="1" applyAlignment="1">
      <alignment horizontal="left" vertical="top"/>
    </xf>
    <xf numFmtId="0" fontId="18" fillId="6" borderId="1" xfId="0" applyFont="1" applyFill="1" applyBorder="1" applyAlignment="1">
      <alignment horizontal="right" vertical="top"/>
    </xf>
    <xf numFmtId="0" fontId="12" fillId="0" borderId="0" xfId="0" applyFont="1" applyAlignment="1">
      <alignment horizontal="center"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right"/>
    </xf>
    <xf numFmtId="43" fontId="5" fillId="0" borderId="0" xfId="1" applyFont="1" applyAlignment="1">
      <alignment horizontal="right"/>
    </xf>
    <xf numFmtId="0" fontId="5" fillId="0" borderId="0" xfId="0" applyFont="1"/>
    <xf numFmtId="0" fontId="13" fillId="6" borderId="1" xfId="0" applyFont="1" applyFill="1" applyBorder="1" applyAlignment="1">
      <alignment horizontal="center" vertical="top"/>
    </xf>
    <xf numFmtId="0" fontId="23" fillId="6" borderId="4" xfId="0" applyFont="1" applyFill="1" applyBorder="1" applyAlignment="1">
      <alignment vertical="top"/>
    </xf>
    <xf numFmtId="0" fontId="23" fillId="6" borderId="4" xfId="0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right" vertical="top"/>
    </xf>
    <xf numFmtId="0" fontId="13" fillId="7" borderId="1" xfId="0" applyFont="1" applyFill="1" applyBorder="1" applyAlignment="1">
      <alignment horizontal="center" vertical="top"/>
    </xf>
    <xf numFmtId="0" fontId="23" fillId="7" borderId="4" xfId="0" applyFont="1" applyFill="1" applyBorder="1" applyAlignment="1">
      <alignment vertical="top"/>
    </xf>
    <xf numFmtId="0" fontId="23" fillId="7" borderId="4" xfId="0" applyFont="1" applyFill="1" applyBorder="1" applyAlignment="1">
      <alignment horizontal="left" vertical="top"/>
    </xf>
    <xf numFmtId="0" fontId="15" fillId="7" borderId="1" xfId="0" applyFont="1" applyFill="1" applyBorder="1" applyAlignment="1">
      <alignment horizontal="center" vertical="top"/>
    </xf>
    <xf numFmtId="0" fontId="13" fillId="7" borderId="1" xfId="0" applyFont="1" applyFill="1" applyBorder="1" applyAlignment="1">
      <alignment horizontal="right" vertical="top"/>
    </xf>
    <xf numFmtId="0" fontId="18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right" vertical="top" wrapText="1"/>
    </xf>
    <xf numFmtId="0" fontId="18" fillId="7" borderId="1" xfId="0" applyFont="1" applyFill="1" applyBorder="1" applyAlignment="1">
      <alignment horizontal="left" vertical="top" wrapText="1"/>
    </xf>
    <xf numFmtId="0" fontId="19" fillId="7" borderId="1" xfId="0" applyFont="1" applyFill="1" applyBorder="1" applyAlignment="1">
      <alignment horizontal="center" vertical="top" wrapText="1"/>
    </xf>
    <xf numFmtId="0" fontId="18" fillId="7" borderId="1" xfId="0" applyFont="1" applyFill="1" applyBorder="1" applyAlignment="1">
      <alignment horizontal="right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/>
    <xf numFmtId="0" fontId="13" fillId="7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center" vertical="top" wrapText="1"/>
    </xf>
    <xf numFmtId="0" fontId="13" fillId="7" borderId="1" xfId="0" applyFont="1" applyFill="1" applyBorder="1" applyAlignment="1">
      <alignment horizontal="right" vertical="top" wrapText="1"/>
    </xf>
    <xf numFmtId="0" fontId="18" fillId="3" borderId="1" xfId="0" applyFont="1" applyFill="1" applyBorder="1" applyAlignment="1">
      <alignment horizontal="right"/>
    </xf>
    <xf numFmtId="0" fontId="13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right" vertical="top" wrapText="1"/>
    </xf>
    <xf numFmtId="0" fontId="18" fillId="6" borderId="1" xfId="0" applyFont="1" applyFill="1" applyBorder="1" applyAlignment="1">
      <alignment horizontal="left" vertical="top" wrapText="1"/>
    </xf>
    <xf numFmtId="0" fontId="19" fillId="6" borderId="1" xfId="0" applyFont="1" applyFill="1" applyBorder="1" applyAlignment="1">
      <alignment horizontal="center" vertical="top" wrapText="1"/>
    </xf>
    <xf numFmtId="0" fontId="18" fillId="6" borderId="1" xfId="0" applyFont="1" applyFill="1" applyBorder="1" applyAlignment="1">
      <alignment horizontal="right" vertical="top" wrapText="1"/>
    </xf>
    <xf numFmtId="0" fontId="26" fillId="0" borderId="0" xfId="0" applyFont="1"/>
    <xf numFmtId="0" fontId="27" fillId="0" borderId="0" xfId="0" applyFont="1"/>
    <xf numFmtId="0" fontId="27" fillId="0" borderId="0" xfId="0" applyFont="1"/>
    <xf numFmtId="0" fontId="28" fillId="0" borderId="0" xfId="0" applyFont="1"/>
    <xf numFmtId="0" fontId="29" fillId="0" borderId="6" xfId="0" applyFont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center" vertical="center" wrapText="1"/>
    </xf>
    <xf numFmtId="0" fontId="30" fillId="8" borderId="6" xfId="0" applyFont="1" applyFill="1" applyBorder="1" applyAlignment="1">
      <alignment horizontal="left" vertical="center" wrapText="1"/>
    </xf>
    <xf numFmtId="4" fontId="30" fillId="8" borderId="6" xfId="0" applyNumberFormat="1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4" fontId="30" fillId="0" borderId="6" xfId="0" applyNumberFormat="1" applyFont="1" applyBorder="1" applyAlignment="1">
      <alignment horizontal="center" vertical="center" wrapText="1"/>
    </xf>
    <xf numFmtId="0" fontId="31" fillId="9" borderId="6" xfId="0" applyFont="1" applyFill="1" applyBorder="1" applyAlignment="1">
      <alignment horizontal="center" vertical="center" wrapText="1"/>
    </xf>
    <xf numFmtId="0" fontId="31" fillId="9" borderId="6" xfId="0" applyFont="1" applyFill="1" applyBorder="1" applyAlignment="1">
      <alignment horizontal="left" vertical="center" wrapText="1"/>
    </xf>
    <xf numFmtId="0" fontId="27" fillId="0" borderId="7" xfId="0" applyFont="1" applyBorder="1"/>
    <xf numFmtId="0" fontId="27" fillId="0" borderId="8" xfId="0" applyFont="1" applyBorder="1"/>
    <xf numFmtId="4" fontId="31" fillId="9" borderId="6" xfId="0" applyNumberFormat="1" applyFont="1" applyFill="1" applyBorder="1" applyAlignment="1">
      <alignment horizontal="center" vertical="center" wrapText="1"/>
    </xf>
    <xf numFmtId="0" fontId="31" fillId="8" borderId="6" xfId="0" applyFont="1" applyFill="1" applyBorder="1" applyAlignment="1">
      <alignment horizontal="center" vertical="center" wrapText="1"/>
    </xf>
    <xf numFmtId="0" fontId="31" fillId="8" borderId="6" xfId="0" applyFont="1" applyFill="1" applyBorder="1" applyAlignment="1">
      <alignment horizontal="left" vertical="center" wrapText="1"/>
    </xf>
    <xf numFmtId="4" fontId="31" fillId="8" borderId="6" xfId="0" applyNumberFormat="1" applyFont="1" applyFill="1" applyBorder="1" applyAlignment="1">
      <alignment horizontal="center" vertical="center" wrapText="1"/>
    </xf>
    <xf numFmtId="0" fontId="27" fillId="0" borderId="6" xfId="0" applyFont="1" applyBorder="1"/>
    <xf numFmtId="0" fontId="32" fillId="0" borderId="6" xfId="0" applyFont="1" applyBorder="1" applyAlignment="1">
      <alignment horizontal="left" vertical="center" wrapText="1"/>
    </xf>
    <xf numFmtId="0" fontId="27" fillId="0" borderId="6" xfId="0" applyFont="1" applyBorder="1"/>
    <xf numFmtId="0" fontId="33" fillId="0" borderId="0" xfId="0" applyFont="1"/>
    <xf numFmtId="0" fontId="30" fillId="0" borderId="0" xfId="0" applyFont="1"/>
    <xf numFmtId="0" fontId="33" fillId="0" borderId="0" xfId="0" applyFont="1"/>
    <xf numFmtId="0" fontId="34" fillId="0" borderId="0" xfId="0" applyFont="1" applyAlignment="1">
      <alignment vertical="top" wrapText="1"/>
    </xf>
  </cellXfs>
  <cellStyles count="4">
    <cellStyle name="Comma" xfId="1" builtinId="3"/>
    <cellStyle name="Comma 2" xfId="3" xr:uid="{00000000-0005-0000-0000-000003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  <pageSetUpPr fitToPage="1"/>
  </sheetPr>
  <dimension ref="A1:M70"/>
  <sheetViews>
    <sheetView view="pageBreakPreview" topLeftCell="A5" zoomScale="110" zoomScaleNormal="120" zoomScaleSheetLayoutView="110" workbookViewId="0">
      <selection activeCell="H7" sqref="H7"/>
    </sheetView>
  </sheetViews>
  <sheetFormatPr defaultColWidth="9.625" defaultRowHeight="21"/>
  <cols>
    <col min="1" max="1" width="7.375" style="13" bestFit="1" customWidth="1"/>
    <col min="2" max="2" width="56.25" style="2" customWidth="1"/>
    <col min="3" max="3" width="16.75" style="3" customWidth="1"/>
    <col min="4" max="4" width="11.375" style="3" customWidth="1"/>
    <col min="5" max="5" width="18" style="9" customWidth="1"/>
    <col min="6" max="6" width="19.25" style="18" bestFit="1" customWidth="1"/>
    <col min="7" max="7" width="17.625" style="9" customWidth="1"/>
    <col min="8" max="8" width="75.375" style="1" customWidth="1"/>
    <col min="9" max="9" width="17.625" style="14" customWidth="1"/>
    <col min="10" max="10" width="18.25" style="14" customWidth="1"/>
    <col min="11" max="11" width="17.625" style="14" customWidth="1"/>
    <col min="12" max="12" width="25" style="1" customWidth="1"/>
    <col min="13" max="13" width="9.625" style="1" customWidth="1"/>
    <col min="14" max="16384" width="9.625" style="1"/>
  </cols>
  <sheetData>
    <row r="1" spans="1:13" ht="24" customHeight="1">
      <c r="A1" s="87" t="s">
        <v>0</v>
      </c>
      <c r="B1" s="88"/>
      <c r="C1" s="89"/>
      <c r="D1" s="89"/>
      <c r="E1" s="90"/>
      <c r="F1" s="91"/>
      <c r="G1" s="90"/>
      <c r="H1" s="92"/>
      <c r="I1" s="28"/>
      <c r="J1" s="28"/>
      <c r="K1" s="28"/>
      <c r="L1" s="28"/>
      <c r="M1" s="28"/>
    </row>
    <row r="2" spans="1:13" ht="28.5" customHeight="1">
      <c r="A2" s="87" t="s">
        <v>1</v>
      </c>
      <c r="B2" s="88"/>
      <c r="C2" s="89"/>
      <c r="D2" s="89"/>
      <c r="E2" s="90"/>
      <c r="F2" s="91"/>
      <c r="G2" s="90"/>
      <c r="H2" s="92"/>
      <c r="I2" s="29">
        <f>SUM(E2-F2-G2)</f>
        <v>0</v>
      </c>
      <c r="J2" s="28"/>
      <c r="K2" s="28"/>
      <c r="L2" s="28"/>
      <c r="M2" s="28"/>
    </row>
    <row r="3" spans="1:13" ht="13.5" customHeight="1">
      <c r="A3" s="8"/>
      <c r="B3" s="25"/>
      <c r="C3" s="8"/>
      <c r="D3" s="8"/>
      <c r="E3" s="8"/>
      <c r="F3" s="20"/>
      <c r="G3" s="8"/>
      <c r="H3" s="24"/>
      <c r="I3" s="29"/>
      <c r="J3" s="28"/>
      <c r="K3" s="28"/>
      <c r="L3" s="28"/>
      <c r="M3" s="28"/>
    </row>
    <row r="4" spans="1:13" ht="42" customHeight="1">
      <c r="A4" s="10" t="s">
        <v>2</v>
      </c>
      <c r="B4" s="11" t="s">
        <v>3</v>
      </c>
      <c r="C4" s="10" t="s">
        <v>4</v>
      </c>
      <c r="D4" s="10" t="s">
        <v>5</v>
      </c>
      <c r="E4" s="12" t="s">
        <v>6</v>
      </c>
      <c r="F4" s="17" t="s">
        <v>7</v>
      </c>
      <c r="G4" s="12" t="s">
        <v>8</v>
      </c>
      <c r="H4" s="10" t="s">
        <v>9</v>
      </c>
      <c r="I4" s="29" t="e">
        <f>SUM(E4-F4-G4)</f>
        <v>#VALUE!</v>
      </c>
      <c r="J4" s="28"/>
      <c r="K4" s="28"/>
      <c r="L4" s="28"/>
      <c r="M4" s="28"/>
    </row>
    <row r="5" spans="1:13" ht="20" customHeight="1">
      <c r="A5" s="93" t="s">
        <v>10</v>
      </c>
      <c r="B5" s="94"/>
      <c r="C5" s="95"/>
      <c r="D5" s="96"/>
      <c r="E5" s="97"/>
      <c r="F5" s="97"/>
      <c r="G5" s="30"/>
      <c r="H5" s="31"/>
      <c r="I5" s="29"/>
      <c r="J5" s="28"/>
      <c r="K5" s="28"/>
      <c r="L5" s="28"/>
      <c r="M5" s="28"/>
    </row>
    <row r="6" spans="1:13" ht="20" customHeight="1">
      <c r="A6" s="98" t="s">
        <v>11</v>
      </c>
      <c r="B6" s="99"/>
      <c r="C6" s="100"/>
      <c r="D6" s="101"/>
      <c r="E6" s="102"/>
      <c r="F6" s="102"/>
      <c r="G6" s="32"/>
      <c r="H6" s="33"/>
      <c r="I6" s="29"/>
      <c r="J6" s="34"/>
      <c r="K6" s="28"/>
      <c r="L6" s="28"/>
      <c r="M6" s="28"/>
    </row>
    <row r="7" spans="1:13" ht="45" customHeight="1">
      <c r="A7" s="35">
        <v>1</v>
      </c>
      <c r="B7" s="36" t="s">
        <v>12</v>
      </c>
      <c r="C7" s="37" t="s">
        <v>13</v>
      </c>
      <c r="D7" s="35" t="s">
        <v>14</v>
      </c>
      <c r="E7" s="38">
        <v>636000</v>
      </c>
      <c r="F7" s="39">
        <v>600000</v>
      </c>
      <c r="G7" s="38">
        <v>36000</v>
      </c>
      <c r="H7" s="40" t="s">
        <v>15</v>
      </c>
      <c r="I7" s="29"/>
      <c r="J7" s="28"/>
      <c r="K7" s="28"/>
      <c r="L7" s="28"/>
      <c r="M7" s="28"/>
    </row>
    <row r="8" spans="1:13" ht="30" customHeight="1">
      <c r="A8" s="35">
        <v>2</v>
      </c>
      <c r="B8" s="36" t="s">
        <v>16</v>
      </c>
      <c r="C8" s="37" t="s">
        <v>17</v>
      </c>
      <c r="D8" s="35" t="s">
        <v>14</v>
      </c>
      <c r="E8" s="38">
        <v>1213799</v>
      </c>
      <c r="F8" s="39">
        <v>1212524</v>
      </c>
      <c r="G8" s="38">
        <v>1275</v>
      </c>
      <c r="H8" s="40" t="s">
        <v>18</v>
      </c>
      <c r="I8" s="29"/>
      <c r="J8" s="34"/>
      <c r="K8" s="28"/>
      <c r="L8" s="28"/>
      <c r="M8" s="28"/>
    </row>
    <row r="9" spans="1:13" s="23" customFormat="1" ht="45" customHeight="1">
      <c r="A9" s="35">
        <v>3</v>
      </c>
      <c r="B9" s="36" t="s">
        <v>19</v>
      </c>
      <c r="C9" s="37" t="s">
        <v>20</v>
      </c>
      <c r="D9" s="35" t="s">
        <v>14</v>
      </c>
      <c r="E9" s="38">
        <v>1636800</v>
      </c>
      <c r="F9" s="38">
        <v>1046000</v>
      </c>
      <c r="G9" s="38">
        <v>342619.35</v>
      </c>
      <c r="H9" s="40" t="s">
        <v>21</v>
      </c>
      <c r="I9" s="41"/>
      <c r="J9" s="28"/>
      <c r="K9" s="28"/>
      <c r="L9" s="28"/>
      <c r="M9" s="28"/>
    </row>
    <row r="10" spans="1:13" ht="45" customHeight="1">
      <c r="A10" s="35">
        <v>4</v>
      </c>
      <c r="B10" s="36" t="s">
        <v>22</v>
      </c>
      <c r="C10" s="37" t="s">
        <v>23</v>
      </c>
      <c r="D10" s="35" t="s">
        <v>24</v>
      </c>
      <c r="E10" s="38">
        <v>26080</v>
      </c>
      <c r="F10" s="38">
        <v>800</v>
      </c>
      <c r="G10" s="38">
        <v>3876</v>
      </c>
      <c r="H10" s="40" t="s">
        <v>25</v>
      </c>
      <c r="I10" s="28"/>
      <c r="J10" s="28"/>
      <c r="K10" s="28"/>
      <c r="L10" s="28"/>
      <c r="M10" s="28"/>
    </row>
    <row r="11" spans="1:13" ht="60" customHeight="1">
      <c r="A11" s="35">
        <v>5</v>
      </c>
      <c r="B11" s="36" t="s">
        <v>26</v>
      </c>
      <c r="C11" s="37" t="s">
        <v>27</v>
      </c>
      <c r="D11" s="35" t="s">
        <v>24</v>
      </c>
      <c r="E11" s="38">
        <v>386508</v>
      </c>
      <c r="F11" s="39">
        <v>252470</v>
      </c>
      <c r="G11" s="38">
        <v>30205</v>
      </c>
      <c r="H11" s="40" t="s">
        <v>28</v>
      </c>
      <c r="I11" s="29"/>
      <c r="J11" s="28"/>
      <c r="K11" s="28"/>
      <c r="L11" s="28"/>
      <c r="M11" s="28"/>
    </row>
    <row r="12" spans="1:13" ht="45" customHeight="1">
      <c r="A12" s="35">
        <v>6</v>
      </c>
      <c r="B12" s="36" t="s">
        <v>29</v>
      </c>
      <c r="C12" s="37" t="s">
        <v>30</v>
      </c>
      <c r="D12" s="35" t="s">
        <v>31</v>
      </c>
      <c r="E12" s="38">
        <v>410000</v>
      </c>
      <c r="F12" s="39">
        <v>294695</v>
      </c>
      <c r="G12" s="38">
        <v>105000</v>
      </c>
      <c r="H12" s="40" t="s">
        <v>32</v>
      </c>
      <c r="I12" s="29"/>
      <c r="J12" s="28"/>
      <c r="K12" s="28"/>
      <c r="L12" s="28"/>
      <c r="M12" s="28"/>
    </row>
    <row r="13" spans="1:13" ht="45" customHeight="1">
      <c r="A13" s="35">
        <v>7</v>
      </c>
      <c r="B13" s="36" t="s">
        <v>33</v>
      </c>
      <c r="C13" s="37" t="s">
        <v>34</v>
      </c>
      <c r="D13" s="35" t="s">
        <v>35</v>
      </c>
      <c r="E13" s="38">
        <v>612200</v>
      </c>
      <c r="F13" s="38">
        <v>387154.5</v>
      </c>
      <c r="G13" s="38">
        <v>201045.5</v>
      </c>
      <c r="H13" s="40" t="s">
        <v>36</v>
      </c>
      <c r="I13" s="28"/>
      <c r="J13" s="28"/>
      <c r="K13" s="28"/>
      <c r="L13" s="28"/>
      <c r="M13" s="28"/>
    </row>
    <row r="14" spans="1:13" ht="30" customHeight="1">
      <c r="A14" s="35">
        <v>8</v>
      </c>
      <c r="B14" s="36" t="s">
        <v>37</v>
      </c>
      <c r="C14" s="37" t="s">
        <v>38</v>
      </c>
      <c r="D14" s="35" t="s">
        <v>35</v>
      </c>
      <c r="E14" s="38">
        <v>133500</v>
      </c>
      <c r="F14" s="38">
        <v>111635</v>
      </c>
      <c r="G14" s="38">
        <v>21865</v>
      </c>
      <c r="H14" s="40" t="s">
        <v>39</v>
      </c>
      <c r="I14" s="28"/>
      <c r="J14" s="28"/>
      <c r="K14" s="28"/>
      <c r="L14" s="28"/>
      <c r="M14" s="28"/>
    </row>
    <row r="15" spans="1:13" ht="30" customHeight="1">
      <c r="A15" s="35">
        <v>9</v>
      </c>
      <c r="B15" s="36" t="s">
        <v>40</v>
      </c>
      <c r="C15" s="37" t="s">
        <v>41</v>
      </c>
      <c r="D15" s="35" t="s">
        <v>42</v>
      </c>
      <c r="E15" s="38">
        <v>9000</v>
      </c>
      <c r="F15" s="38">
        <v>8560</v>
      </c>
      <c r="G15" s="38">
        <v>440</v>
      </c>
      <c r="H15" s="40" t="s">
        <v>43</v>
      </c>
      <c r="I15" s="28"/>
      <c r="J15" s="28"/>
      <c r="K15" s="28"/>
      <c r="L15" s="28"/>
      <c r="M15" s="28"/>
    </row>
    <row r="16" spans="1:13" ht="30" customHeight="1">
      <c r="A16" s="35">
        <v>10</v>
      </c>
      <c r="B16" s="36" t="s">
        <v>44</v>
      </c>
      <c r="C16" s="37" t="s">
        <v>45</v>
      </c>
      <c r="D16" s="35" t="s">
        <v>42</v>
      </c>
      <c r="E16" s="38">
        <v>1133037.8</v>
      </c>
      <c r="F16" s="38">
        <v>1117407.8</v>
      </c>
      <c r="G16" s="38">
        <v>15630</v>
      </c>
      <c r="H16" s="40" t="s">
        <v>46</v>
      </c>
      <c r="I16" s="28"/>
      <c r="J16" s="28"/>
      <c r="K16" s="28"/>
      <c r="L16" s="28"/>
      <c r="M16" s="28"/>
    </row>
    <row r="17" spans="1:13" ht="28" customHeight="1">
      <c r="A17" s="35">
        <v>11</v>
      </c>
      <c r="B17" s="36" t="s">
        <v>47</v>
      </c>
      <c r="C17" s="37" t="s">
        <v>48</v>
      </c>
      <c r="D17" s="35" t="s">
        <v>42</v>
      </c>
      <c r="E17" s="38">
        <v>100000</v>
      </c>
      <c r="F17" s="38">
        <v>99215.37</v>
      </c>
      <c r="G17" s="38">
        <v>784.63</v>
      </c>
      <c r="H17" s="40" t="s">
        <v>49</v>
      </c>
      <c r="I17" s="28"/>
      <c r="J17" s="28"/>
      <c r="K17" s="28"/>
      <c r="L17" s="28"/>
      <c r="M17" s="28"/>
    </row>
    <row r="18" spans="1:13" ht="18" customHeight="1">
      <c r="A18" s="76" t="s">
        <v>50</v>
      </c>
      <c r="B18" s="77"/>
      <c r="C18" s="78"/>
      <c r="D18" s="76"/>
      <c r="E18" s="79"/>
      <c r="F18" s="79"/>
      <c r="G18" s="42">
        <f>SUM(G7:G17)</f>
        <v>758740.47999999998</v>
      </c>
      <c r="H18" s="43"/>
      <c r="I18" s="28"/>
      <c r="J18" s="28"/>
      <c r="K18" s="28"/>
      <c r="L18" s="28"/>
      <c r="M18" s="28"/>
    </row>
    <row r="19" spans="1:13" ht="20" customHeight="1">
      <c r="A19" s="72" t="s">
        <v>51</v>
      </c>
      <c r="B19" s="73"/>
      <c r="C19" s="74"/>
      <c r="D19" s="72"/>
      <c r="E19" s="75"/>
      <c r="F19" s="75"/>
      <c r="G19" s="44"/>
      <c r="H19" s="45"/>
      <c r="I19" s="28"/>
      <c r="J19" s="28"/>
      <c r="K19" s="28"/>
      <c r="L19" s="28"/>
      <c r="M19" s="28"/>
    </row>
    <row r="20" spans="1:13" ht="75" customHeight="1">
      <c r="A20" s="35">
        <v>12</v>
      </c>
      <c r="B20" s="36" t="s">
        <v>52</v>
      </c>
      <c r="C20" s="37" t="s">
        <v>53</v>
      </c>
      <c r="D20" s="35" t="s">
        <v>24</v>
      </c>
      <c r="E20" s="38">
        <v>2745379</v>
      </c>
      <c r="F20" s="38">
        <v>2460464.7599999998</v>
      </c>
      <c r="G20" s="38">
        <v>60069.24</v>
      </c>
      <c r="H20" s="40" t="s">
        <v>54</v>
      </c>
      <c r="I20" s="28"/>
      <c r="J20" s="28"/>
      <c r="K20" s="28"/>
      <c r="L20" s="28"/>
      <c r="M20" s="28"/>
    </row>
    <row r="21" spans="1:13" ht="45" customHeight="1">
      <c r="A21" s="35">
        <v>13</v>
      </c>
      <c r="B21" s="36" t="s">
        <v>55</v>
      </c>
      <c r="C21" s="37" t="s">
        <v>56</v>
      </c>
      <c r="D21" s="35" t="s">
        <v>31</v>
      </c>
      <c r="E21" s="38">
        <v>919522</v>
      </c>
      <c r="F21" s="38">
        <v>908585.07</v>
      </c>
      <c r="G21" s="38">
        <v>10936.93</v>
      </c>
      <c r="H21" s="40" t="s">
        <v>57</v>
      </c>
      <c r="I21" s="28"/>
      <c r="J21" s="28"/>
      <c r="K21" s="28"/>
      <c r="L21" s="28"/>
      <c r="M21" s="28"/>
    </row>
    <row r="22" spans="1:13" ht="45" customHeight="1">
      <c r="A22" s="35">
        <v>14</v>
      </c>
      <c r="B22" s="36" t="s">
        <v>58</v>
      </c>
      <c r="C22" s="37" t="s">
        <v>56</v>
      </c>
      <c r="D22" s="35" t="s">
        <v>31</v>
      </c>
      <c r="E22" s="38">
        <v>416000</v>
      </c>
      <c r="F22" s="38">
        <v>397572</v>
      </c>
      <c r="G22" s="38">
        <v>18428</v>
      </c>
      <c r="H22" s="40" t="s">
        <v>59</v>
      </c>
      <c r="I22" s="28"/>
      <c r="J22" s="28"/>
      <c r="K22" s="28"/>
      <c r="L22" s="28"/>
      <c r="M22" s="28"/>
    </row>
    <row r="23" spans="1:13" ht="30" customHeight="1">
      <c r="A23" s="35">
        <v>15</v>
      </c>
      <c r="B23" s="36" t="s">
        <v>60</v>
      </c>
      <c r="C23" s="37" t="s">
        <v>56</v>
      </c>
      <c r="D23" s="35" t="s">
        <v>31</v>
      </c>
      <c r="E23" s="38">
        <v>180000</v>
      </c>
      <c r="F23" s="38">
        <v>137725.1</v>
      </c>
      <c r="G23" s="38">
        <v>42274.9</v>
      </c>
      <c r="H23" s="40" t="s">
        <v>61</v>
      </c>
      <c r="I23" s="28"/>
      <c r="J23" s="28"/>
      <c r="K23" s="28"/>
      <c r="L23" s="28"/>
      <c r="M23" s="28"/>
    </row>
    <row r="24" spans="1:13" ht="45" customHeight="1">
      <c r="A24" s="35">
        <v>16</v>
      </c>
      <c r="B24" s="36" t="s">
        <v>62</v>
      </c>
      <c r="C24" s="37" t="s">
        <v>56</v>
      </c>
      <c r="D24" s="35" t="s">
        <v>31</v>
      </c>
      <c r="E24" s="38">
        <v>622651.03</v>
      </c>
      <c r="F24" s="38">
        <v>570419.63</v>
      </c>
      <c r="G24" s="38">
        <v>52231.4</v>
      </c>
      <c r="H24" s="40" t="s">
        <v>63</v>
      </c>
      <c r="I24" s="28"/>
      <c r="J24" s="28"/>
      <c r="K24" s="28"/>
      <c r="L24" s="28"/>
      <c r="M24" s="28"/>
    </row>
    <row r="25" spans="1:13" ht="45" customHeight="1">
      <c r="A25" s="35">
        <v>17</v>
      </c>
      <c r="B25" s="36" t="s">
        <v>64</v>
      </c>
      <c r="C25" s="37" t="s">
        <v>56</v>
      </c>
      <c r="D25" s="35" t="s">
        <v>31</v>
      </c>
      <c r="E25" s="38">
        <v>300000</v>
      </c>
      <c r="F25" s="38">
        <v>253500</v>
      </c>
      <c r="G25" s="38">
        <v>46500</v>
      </c>
      <c r="H25" s="40" t="s">
        <v>65</v>
      </c>
      <c r="I25" s="28"/>
      <c r="J25" s="28"/>
      <c r="K25" s="28"/>
      <c r="L25" s="28"/>
      <c r="M25" s="28"/>
    </row>
    <row r="26" spans="1:13" ht="30" customHeight="1">
      <c r="A26" s="35">
        <v>18</v>
      </c>
      <c r="B26" s="36" t="s">
        <v>66</v>
      </c>
      <c r="C26" s="37" t="s">
        <v>56</v>
      </c>
      <c r="D26" s="35" t="s">
        <v>31</v>
      </c>
      <c r="E26" s="38">
        <v>700000</v>
      </c>
      <c r="F26" s="38">
        <v>696000</v>
      </c>
      <c r="G26" s="38">
        <v>4000</v>
      </c>
      <c r="H26" s="40" t="s">
        <v>67</v>
      </c>
      <c r="I26" s="28"/>
      <c r="J26" s="28"/>
      <c r="K26" s="28"/>
      <c r="L26" s="28"/>
      <c r="M26" s="28"/>
    </row>
    <row r="27" spans="1:13" ht="45" customHeight="1">
      <c r="A27" s="35">
        <v>19</v>
      </c>
      <c r="B27" s="36" t="s">
        <v>68</v>
      </c>
      <c r="C27" s="37" t="s">
        <v>69</v>
      </c>
      <c r="D27" s="35" t="s">
        <v>31</v>
      </c>
      <c r="E27" s="38">
        <v>100000</v>
      </c>
      <c r="F27" s="38">
        <v>0</v>
      </c>
      <c r="G27" s="38">
        <v>100000</v>
      </c>
      <c r="H27" s="40" t="s">
        <v>70</v>
      </c>
      <c r="I27" s="28"/>
      <c r="J27" s="28"/>
      <c r="K27" s="28"/>
      <c r="L27" s="28"/>
      <c r="M27" s="28"/>
    </row>
    <row r="28" spans="1:13" ht="30" customHeight="1">
      <c r="A28" s="35">
        <v>20</v>
      </c>
      <c r="B28" s="36" t="s">
        <v>71</v>
      </c>
      <c r="C28" s="37" t="s">
        <v>72</v>
      </c>
      <c r="D28" s="35" t="s">
        <v>31</v>
      </c>
      <c r="E28" s="38">
        <v>10866384</v>
      </c>
      <c r="F28" s="38">
        <v>10866366.27</v>
      </c>
      <c r="G28" s="38">
        <v>17.73</v>
      </c>
      <c r="H28" s="40" t="s">
        <v>73</v>
      </c>
      <c r="I28" s="28"/>
      <c r="J28" s="28"/>
      <c r="K28" s="28"/>
      <c r="L28" s="28"/>
      <c r="M28" s="28"/>
    </row>
    <row r="29" spans="1:13" ht="30" customHeight="1">
      <c r="A29" s="35">
        <v>21</v>
      </c>
      <c r="B29" s="36" t="s">
        <v>74</v>
      </c>
      <c r="C29" s="37" t="s">
        <v>75</v>
      </c>
      <c r="D29" s="35" t="s">
        <v>76</v>
      </c>
      <c r="E29" s="38">
        <v>450700</v>
      </c>
      <c r="F29" s="38">
        <v>415529</v>
      </c>
      <c r="G29" s="38">
        <v>35171</v>
      </c>
      <c r="H29" s="40" t="s">
        <v>77</v>
      </c>
      <c r="I29" s="28"/>
      <c r="J29" s="28"/>
      <c r="K29" s="28"/>
      <c r="L29" s="28"/>
      <c r="M29" s="28"/>
    </row>
    <row r="30" spans="1:13" ht="30" customHeight="1">
      <c r="A30" s="35">
        <v>22</v>
      </c>
      <c r="B30" s="36" t="s">
        <v>78</v>
      </c>
      <c r="C30" s="37" t="s">
        <v>79</v>
      </c>
      <c r="D30" s="35" t="s">
        <v>76</v>
      </c>
      <c r="E30" s="38">
        <v>523690</v>
      </c>
      <c r="F30" s="38">
        <v>523230</v>
      </c>
      <c r="G30" s="38">
        <v>460</v>
      </c>
      <c r="H30" s="40" t="s">
        <v>80</v>
      </c>
      <c r="I30" s="28"/>
      <c r="J30" s="28"/>
      <c r="K30" s="28"/>
      <c r="L30" s="28"/>
      <c r="M30" s="28"/>
    </row>
    <row r="31" spans="1:13" ht="30" customHeight="1">
      <c r="A31" s="35">
        <v>23</v>
      </c>
      <c r="B31" s="36" t="s">
        <v>81</v>
      </c>
      <c r="C31" s="37" t="s">
        <v>82</v>
      </c>
      <c r="D31" s="35" t="s">
        <v>42</v>
      </c>
      <c r="E31" s="38">
        <v>350000</v>
      </c>
      <c r="F31" s="38">
        <v>349997</v>
      </c>
      <c r="G31" s="38">
        <v>3</v>
      </c>
      <c r="H31" s="40" t="s">
        <v>83</v>
      </c>
      <c r="I31" s="28"/>
      <c r="J31" s="28"/>
      <c r="K31" s="28"/>
      <c r="L31" s="28"/>
      <c r="M31" s="28"/>
    </row>
    <row r="32" spans="1:13" ht="18" customHeight="1">
      <c r="A32" s="76" t="s">
        <v>84</v>
      </c>
      <c r="B32" s="77"/>
      <c r="C32" s="78"/>
      <c r="D32" s="76"/>
      <c r="E32" s="79"/>
      <c r="F32" s="79"/>
      <c r="G32" s="42">
        <f>SUM(G20:G31)</f>
        <v>370092.19999999995</v>
      </c>
      <c r="H32" s="43"/>
      <c r="I32" s="28"/>
      <c r="J32" s="28"/>
      <c r="K32" s="28"/>
      <c r="L32" s="28"/>
      <c r="M32" s="28"/>
    </row>
    <row r="33" spans="1:13" ht="18" customHeight="1">
      <c r="A33" s="72" t="s">
        <v>85</v>
      </c>
      <c r="B33" s="73"/>
      <c r="C33" s="74"/>
      <c r="D33" s="72"/>
      <c r="E33" s="75"/>
      <c r="F33" s="75"/>
      <c r="G33" s="46">
        <f>G18+G32</f>
        <v>1128832.68</v>
      </c>
      <c r="H33" s="45"/>
      <c r="I33" s="28"/>
      <c r="J33" s="28"/>
      <c r="K33" s="28"/>
      <c r="L33" s="28"/>
      <c r="M33" s="28"/>
    </row>
    <row r="34" spans="1:13" ht="20" customHeight="1">
      <c r="A34" s="83" t="s">
        <v>86</v>
      </c>
      <c r="B34" s="84"/>
      <c r="C34" s="85"/>
      <c r="D34" s="83"/>
      <c r="E34" s="86"/>
      <c r="F34" s="86"/>
      <c r="G34" s="47"/>
      <c r="H34" s="48"/>
      <c r="I34" s="28"/>
      <c r="J34" s="28"/>
      <c r="K34" s="28"/>
      <c r="L34" s="28"/>
      <c r="M34" s="28"/>
    </row>
    <row r="35" spans="1:13" ht="60" customHeight="1">
      <c r="A35" s="35">
        <v>24</v>
      </c>
      <c r="B35" s="36" t="s">
        <v>87</v>
      </c>
      <c r="C35" s="37" t="s">
        <v>88</v>
      </c>
      <c r="D35" s="35" t="s">
        <v>89</v>
      </c>
      <c r="E35" s="38">
        <v>475700</v>
      </c>
      <c r="F35" s="38">
        <v>352893.26</v>
      </c>
      <c r="G35" s="38">
        <v>48006.74</v>
      </c>
      <c r="H35" s="40" t="s">
        <v>90</v>
      </c>
      <c r="I35" s="28"/>
      <c r="J35" s="28"/>
      <c r="K35" s="28"/>
      <c r="L35" s="28"/>
      <c r="M35" s="28"/>
    </row>
    <row r="36" spans="1:13" ht="60" customHeight="1">
      <c r="A36" s="35">
        <v>25</v>
      </c>
      <c r="B36" s="36" t="s">
        <v>91</v>
      </c>
      <c r="C36" s="37" t="s">
        <v>92</v>
      </c>
      <c r="D36" s="35" t="s">
        <v>89</v>
      </c>
      <c r="E36" s="38">
        <v>426600</v>
      </c>
      <c r="F36" s="38">
        <v>289225</v>
      </c>
      <c r="G36" s="38">
        <v>33043</v>
      </c>
      <c r="H36" s="40" t="s">
        <v>93</v>
      </c>
      <c r="I36" s="28"/>
      <c r="J36" s="28"/>
      <c r="K36" s="28"/>
      <c r="L36" s="28"/>
      <c r="M36" s="28"/>
    </row>
    <row r="37" spans="1:13" ht="30" customHeight="1">
      <c r="A37" s="35">
        <v>26</v>
      </c>
      <c r="B37" s="36" t="s">
        <v>94</v>
      </c>
      <c r="C37" s="37" t="s">
        <v>95</v>
      </c>
      <c r="D37" s="35" t="s">
        <v>89</v>
      </c>
      <c r="E37" s="38">
        <v>48000</v>
      </c>
      <c r="F37" s="38">
        <v>24860</v>
      </c>
      <c r="G37" s="38">
        <v>15140</v>
      </c>
      <c r="H37" s="40" t="s">
        <v>96</v>
      </c>
      <c r="I37" s="28"/>
      <c r="J37" s="28"/>
      <c r="K37" s="28"/>
      <c r="L37" s="28"/>
      <c r="M37" s="28"/>
    </row>
    <row r="38" spans="1:13" ht="45" customHeight="1">
      <c r="A38" s="35">
        <v>27</v>
      </c>
      <c r="B38" s="36" t="s">
        <v>97</v>
      </c>
      <c r="C38" s="37" t="s">
        <v>98</v>
      </c>
      <c r="D38" s="35" t="s">
        <v>89</v>
      </c>
      <c r="E38" s="38">
        <v>870000</v>
      </c>
      <c r="F38" s="38">
        <v>509537</v>
      </c>
      <c r="G38" s="38">
        <v>310463</v>
      </c>
      <c r="H38" s="40" t="s">
        <v>99</v>
      </c>
      <c r="I38" s="28"/>
      <c r="J38" s="28"/>
      <c r="K38" s="28"/>
      <c r="L38" s="28"/>
      <c r="M38" s="28"/>
    </row>
    <row r="39" spans="1:13" ht="45" customHeight="1">
      <c r="A39" s="35">
        <v>28</v>
      </c>
      <c r="B39" s="36" t="s">
        <v>100</v>
      </c>
      <c r="C39" s="37" t="s">
        <v>101</v>
      </c>
      <c r="D39" s="35" t="s">
        <v>89</v>
      </c>
      <c r="E39" s="38">
        <v>102900</v>
      </c>
      <c r="F39" s="38">
        <v>101190</v>
      </c>
      <c r="G39" s="38">
        <v>1710</v>
      </c>
      <c r="H39" s="40" t="s">
        <v>102</v>
      </c>
      <c r="I39" s="28"/>
      <c r="J39" s="28"/>
      <c r="K39" s="28"/>
      <c r="L39" s="28"/>
      <c r="M39" s="28"/>
    </row>
    <row r="40" spans="1:13" ht="30" customHeight="1">
      <c r="A40" s="35">
        <v>29</v>
      </c>
      <c r="B40" s="36" t="s">
        <v>103</v>
      </c>
      <c r="C40" s="37" t="s">
        <v>104</v>
      </c>
      <c r="D40" s="35" t="s">
        <v>89</v>
      </c>
      <c r="E40" s="38">
        <v>726000</v>
      </c>
      <c r="F40" s="38">
        <v>687825</v>
      </c>
      <c r="G40" s="38">
        <v>38175</v>
      </c>
      <c r="H40" s="40" t="s">
        <v>105</v>
      </c>
      <c r="I40" s="28"/>
      <c r="J40" s="28"/>
      <c r="K40" s="28"/>
      <c r="L40" s="28"/>
      <c r="M40" s="28"/>
    </row>
    <row r="41" spans="1:13" ht="45" customHeight="1">
      <c r="A41" s="35">
        <v>30</v>
      </c>
      <c r="B41" s="36" t="s">
        <v>106</v>
      </c>
      <c r="C41" s="37" t="s">
        <v>107</v>
      </c>
      <c r="D41" s="35" t="s">
        <v>108</v>
      </c>
      <c r="E41" s="38">
        <v>48000</v>
      </c>
      <c r="F41" s="38">
        <v>6770</v>
      </c>
      <c r="G41" s="38">
        <v>36230</v>
      </c>
      <c r="H41" s="40" t="s">
        <v>109</v>
      </c>
      <c r="I41" s="28"/>
      <c r="J41" s="28"/>
      <c r="K41" s="28"/>
      <c r="L41" s="28"/>
      <c r="M41" s="28"/>
    </row>
    <row r="42" spans="1:13" ht="60" customHeight="1">
      <c r="A42" s="35">
        <v>31</v>
      </c>
      <c r="B42" s="36" t="s">
        <v>97</v>
      </c>
      <c r="C42" s="37" t="s">
        <v>110</v>
      </c>
      <c r="D42" s="35" t="s">
        <v>111</v>
      </c>
      <c r="E42" s="38">
        <v>532142.16</v>
      </c>
      <c r="F42" s="38">
        <v>323160.15999999997</v>
      </c>
      <c r="G42" s="38">
        <v>158982</v>
      </c>
      <c r="H42" s="40" t="s">
        <v>112</v>
      </c>
      <c r="I42" s="28"/>
      <c r="J42" s="28"/>
      <c r="K42" s="28"/>
      <c r="L42" s="28"/>
      <c r="M42" s="28"/>
    </row>
    <row r="43" spans="1:13" ht="18" customHeight="1">
      <c r="A43" s="76" t="s">
        <v>113</v>
      </c>
      <c r="B43" s="77"/>
      <c r="C43" s="78"/>
      <c r="D43" s="76"/>
      <c r="E43" s="79"/>
      <c r="F43" s="79"/>
      <c r="G43" s="42">
        <f>SUM(G35:G42)</f>
        <v>641749.74</v>
      </c>
      <c r="H43" s="43"/>
      <c r="I43" s="28"/>
      <c r="J43" s="28"/>
      <c r="K43" s="28"/>
      <c r="L43" s="28"/>
      <c r="M43" s="28"/>
    </row>
    <row r="44" spans="1:13" ht="20" customHeight="1">
      <c r="A44" s="83" t="s">
        <v>114</v>
      </c>
      <c r="B44" s="84"/>
      <c r="C44" s="85"/>
      <c r="D44" s="83"/>
      <c r="E44" s="86"/>
      <c r="F44" s="86"/>
      <c r="G44" s="47"/>
      <c r="H44" s="48"/>
      <c r="I44" s="28"/>
      <c r="J44" s="28"/>
      <c r="K44" s="28"/>
      <c r="L44" s="28"/>
      <c r="M44" s="28"/>
    </row>
    <row r="45" spans="1:13" ht="45" customHeight="1">
      <c r="A45" s="35">
        <v>32</v>
      </c>
      <c r="B45" s="36" t="s">
        <v>115</v>
      </c>
      <c r="C45" s="37" t="s">
        <v>116</v>
      </c>
      <c r="D45" s="35" t="s">
        <v>42</v>
      </c>
      <c r="E45" s="38">
        <v>1000000</v>
      </c>
      <c r="F45" s="38">
        <v>985000</v>
      </c>
      <c r="G45" s="38">
        <v>15000</v>
      </c>
      <c r="H45" s="40" t="s">
        <v>117</v>
      </c>
      <c r="I45" s="28"/>
      <c r="J45" s="28"/>
      <c r="K45" s="28"/>
      <c r="L45" s="28"/>
      <c r="M45" s="28"/>
    </row>
    <row r="46" spans="1:13" ht="30" customHeight="1">
      <c r="A46" s="35">
        <v>33</v>
      </c>
      <c r="B46" s="36" t="s">
        <v>118</v>
      </c>
      <c r="C46" s="37" t="s">
        <v>119</v>
      </c>
      <c r="D46" s="35" t="s">
        <v>42</v>
      </c>
      <c r="E46" s="38">
        <v>3000000</v>
      </c>
      <c r="F46" s="38">
        <v>2200000</v>
      </c>
      <c r="G46" s="38">
        <v>800000</v>
      </c>
      <c r="H46" s="40" t="s">
        <v>120</v>
      </c>
      <c r="I46" s="28"/>
      <c r="J46" s="28"/>
      <c r="K46" s="28"/>
      <c r="L46" s="28"/>
      <c r="M46" s="28"/>
    </row>
    <row r="47" spans="1:13" ht="18" customHeight="1">
      <c r="A47" s="76" t="s">
        <v>121</v>
      </c>
      <c r="B47" s="77"/>
      <c r="C47" s="78"/>
      <c r="D47" s="76"/>
      <c r="E47" s="79"/>
      <c r="F47" s="79"/>
      <c r="G47" s="42">
        <f>SUM(G45:G46)</f>
        <v>815000</v>
      </c>
      <c r="H47" s="43"/>
      <c r="I47" s="28"/>
      <c r="J47" s="28"/>
      <c r="K47" s="28"/>
      <c r="L47" s="28"/>
      <c r="M47" s="28"/>
    </row>
    <row r="48" spans="1:13" ht="20" customHeight="1">
      <c r="A48" s="83" t="s">
        <v>122</v>
      </c>
      <c r="B48" s="84"/>
      <c r="C48" s="85"/>
      <c r="D48" s="83"/>
      <c r="E48" s="86"/>
      <c r="F48" s="86"/>
      <c r="G48" s="47"/>
      <c r="H48" s="48"/>
      <c r="I48" s="28"/>
      <c r="J48" s="28"/>
      <c r="K48" s="28"/>
      <c r="L48" s="28"/>
      <c r="M48" s="28"/>
    </row>
    <row r="49" spans="1:13" ht="60" customHeight="1">
      <c r="A49" s="35">
        <v>34</v>
      </c>
      <c r="B49" s="36" t="s">
        <v>123</v>
      </c>
      <c r="C49" s="37" t="s">
        <v>124</v>
      </c>
      <c r="D49" s="35" t="s">
        <v>31</v>
      </c>
      <c r="E49" s="38">
        <v>230000</v>
      </c>
      <c r="F49" s="38">
        <v>94820</v>
      </c>
      <c r="G49" s="38">
        <v>35180</v>
      </c>
      <c r="H49" s="40" t="s">
        <v>125</v>
      </c>
      <c r="I49" s="28"/>
      <c r="J49" s="28"/>
      <c r="K49" s="28"/>
      <c r="L49" s="28"/>
      <c r="M49" s="28"/>
    </row>
    <row r="50" spans="1:13" ht="60" customHeight="1">
      <c r="A50" s="35">
        <v>35</v>
      </c>
      <c r="B50" s="36" t="s">
        <v>126</v>
      </c>
      <c r="C50" s="37" t="s">
        <v>124</v>
      </c>
      <c r="D50" s="35" t="s">
        <v>31</v>
      </c>
      <c r="E50" s="38">
        <v>300000</v>
      </c>
      <c r="F50" s="38">
        <v>269363</v>
      </c>
      <c r="G50" s="38">
        <v>30637</v>
      </c>
      <c r="H50" s="40" t="s">
        <v>127</v>
      </c>
      <c r="I50" s="28"/>
      <c r="J50" s="28"/>
      <c r="K50" s="28"/>
      <c r="L50" s="28"/>
      <c r="M50" s="28"/>
    </row>
    <row r="51" spans="1:13" ht="30" customHeight="1">
      <c r="A51" s="35">
        <v>36</v>
      </c>
      <c r="B51" s="36" t="s">
        <v>128</v>
      </c>
      <c r="C51" s="37" t="s">
        <v>129</v>
      </c>
      <c r="D51" s="35" t="s">
        <v>31</v>
      </c>
      <c r="E51" s="38">
        <v>6000000</v>
      </c>
      <c r="F51" s="38">
        <v>5987890</v>
      </c>
      <c r="G51" s="38">
        <v>12110</v>
      </c>
      <c r="H51" s="40" t="s">
        <v>130</v>
      </c>
      <c r="I51" s="28"/>
      <c r="J51" s="28"/>
      <c r="K51" s="28"/>
      <c r="L51" s="28"/>
      <c r="M51" s="28"/>
    </row>
    <row r="52" spans="1:13" ht="75" customHeight="1">
      <c r="A52" s="35">
        <v>37</v>
      </c>
      <c r="B52" s="36" t="s">
        <v>131</v>
      </c>
      <c r="C52" s="37" t="s">
        <v>132</v>
      </c>
      <c r="D52" s="35" t="s">
        <v>35</v>
      </c>
      <c r="E52" s="38">
        <v>2000000</v>
      </c>
      <c r="F52" s="38">
        <v>1798757.95</v>
      </c>
      <c r="G52" s="38">
        <v>201242.05</v>
      </c>
      <c r="H52" s="40" t="s">
        <v>133</v>
      </c>
      <c r="I52" s="28"/>
      <c r="J52" s="28"/>
      <c r="K52" s="28"/>
      <c r="L52" s="28"/>
      <c r="M52" s="28"/>
    </row>
    <row r="53" spans="1:13" ht="45" customHeight="1">
      <c r="A53" s="35">
        <v>38</v>
      </c>
      <c r="B53" s="36" t="s">
        <v>134</v>
      </c>
      <c r="C53" s="37" t="s">
        <v>135</v>
      </c>
      <c r="D53" s="35" t="s">
        <v>76</v>
      </c>
      <c r="E53" s="38">
        <v>291700</v>
      </c>
      <c r="F53" s="38">
        <v>246175</v>
      </c>
      <c r="G53" s="38">
        <v>25525</v>
      </c>
      <c r="H53" s="40" t="s">
        <v>136</v>
      </c>
      <c r="I53" s="28"/>
      <c r="J53" s="28"/>
      <c r="K53" s="28"/>
      <c r="L53" s="28"/>
      <c r="M53" s="28"/>
    </row>
    <row r="54" spans="1:13" ht="120" customHeight="1">
      <c r="A54" s="35">
        <v>39</v>
      </c>
      <c r="B54" s="36" t="s">
        <v>137</v>
      </c>
      <c r="C54" s="37" t="s">
        <v>138</v>
      </c>
      <c r="D54" s="35" t="s">
        <v>139</v>
      </c>
      <c r="E54" s="38">
        <v>3152841.05</v>
      </c>
      <c r="F54" s="38">
        <v>1701153.05</v>
      </c>
      <c r="G54" s="38">
        <v>441688</v>
      </c>
      <c r="H54" s="40" t="s">
        <v>140</v>
      </c>
      <c r="I54" s="28"/>
      <c r="J54" s="28"/>
      <c r="K54" s="28"/>
      <c r="L54" s="28"/>
      <c r="M54" s="28"/>
    </row>
    <row r="55" spans="1:13" ht="60" customHeight="1">
      <c r="A55" s="35">
        <v>40</v>
      </c>
      <c r="B55" s="36" t="s">
        <v>141</v>
      </c>
      <c r="C55" s="37" t="s">
        <v>142</v>
      </c>
      <c r="D55" s="35" t="s">
        <v>139</v>
      </c>
      <c r="E55" s="38">
        <v>260000</v>
      </c>
      <c r="F55" s="38">
        <v>161250</v>
      </c>
      <c r="G55" s="38">
        <v>98750</v>
      </c>
      <c r="H55" s="40" t="s">
        <v>143</v>
      </c>
      <c r="I55" s="28"/>
      <c r="J55" s="28"/>
      <c r="K55" s="28"/>
      <c r="L55" s="28"/>
      <c r="M55" s="28"/>
    </row>
    <row r="56" spans="1:13" ht="30" customHeight="1">
      <c r="A56" s="35">
        <v>41</v>
      </c>
      <c r="B56" s="36" t="s">
        <v>144</v>
      </c>
      <c r="C56" s="37" t="s">
        <v>145</v>
      </c>
      <c r="D56" s="35" t="s">
        <v>139</v>
      </c>
      <c r="E56" s="38">
        <v>200000</v>
      </c>
      <c r="F56" s="38">
        <v>153290</v>
      </c>
      <c r="G56" s="38">
        <v>46710</v>
      </c>
      <c r="H56" s="40" t="s">
        <v>146</v>
      </c>
      <c r="I56" s="28"/>
      <c r="J56" s="28"/>
      <c r="K56" s="28"/>
      <c r="L56" s="28"/>
      <c r="M56" s="28"/>
    </row>
    <row r="57" spans="1:13" ht="30" customHeight="1">
      <c r="A57" s="35">
        <v>42</v>
      </c>
      <c r="B57" s="36" t="s">
        <v>131</v>
      </c>
      <c r="C57" s="37" t="s">
        <v>147</v>
      </c>
      <c r="D57" s="35" t="s">
        <v>89</v>
      </c>
      <c r="E57" s="38">
        <v>1000000</v>
      </c>
      <c r="F57" s="38">
        <v>881825</v>
      </c>
      <c r="G57" s="38">
        <v>118175</v>
      </c>
      <c r="H57" s="40" t="s">
        <v>148</v>
      </c>
      <c r="I57" s="28"/>
      <c r="J57" s="28"/>
      <c r="K57" s="28"/>
      <c r="L57" s="28"/>
      <c r="M57" s="28"/>
    </row>
    <row r="58" spans="1:13" ht="45" customHeight="1">
      <c r="A58" s="35">
        <v>43</v>
      </c>
      <c r="B58" s="36" t="s">
        <v>149</v>
      </c>
      <c r="C58" s="37" t="s">
        <v>150</v>
      </c>
      <c r="D58" s="35" t="s">
        <v>111</v>
      </c>
      <c r="E58" s="38">
        <v>1000000</v>
      </c>
      <c r="F58" s="38">
        <v>812580.92</v>
      </c>
      <c r="G58" s="38">
        <v>187419.08</v>
      </c>
      <c r="H58" s="40" t="s">
        <v>151</v>
      </c>
      <c r="I58" s="28"/>
      <c r="J58" s="28"/>
      <c r="K58" s="28"/>
      <c r="L58" s="28"/>
      <c r="M58" s="28"/>
    </row>
    <row r="59" spans="1:13" ht="18" customHeight="1">
      <c r="A59" s="76" t="s">
        <v>152</v>
      </c>
      <c r="B59" s="77"/>
      <c r="C59" s="78"/>
      <c r="D59" s="76"/>
      <c r="E59" s="79"/>
      <c r="F59" s="79"/>
      <c r="G59" s="42">
        <f>SUM(G49:G58)</f>
        <v>1197436.1300000001</v>
      </c>
      <c r="H59" s="43"/>
      <c r="I59" s="28"/>
      <c r="J59" s="28"/>
      <c r="K59" s="28"/>
      <c r="L59" s="28"/>
      <c r="M59" s="28"/>
    </row>
    <row r="60" spans="1:13" ht="22" customHeight="1">
      <c r="A60" s="80" t="s">
        <v>153</v>
      </c>
      <c r="B60" s="81"/>
      <c r="C60" s="81"/>
      <c r="D60" s="81"/>
      <c r="E60" s="81"/>
      <c r="F60" s="82"/>
      <c r="G60" s="38">
        <f>G33+G43+G47+G59</f>
        <v>3783018.55</v>
      </c>
      <c r="H60" s="40"/>
      <c r="I60" s="28"/>
      <c r="J60" s="28"/>
      <c r="K60" s="28"/>
      <c r="L60" s="28"/>
      <c r="M60" s="28"/>
    </row>
    <row r="61" spans="1:13" ht="15" customHeight="1">
      <c r="I61" s="28"/>
      <c r="J61" s="28"/>
      <c r="K61" s="28"/>
      <c r="L61" s="28"/>
      <c r="M61" s="28"/>
    </row>
    <row r="62" spans="1:13" ht="24" customHeight="1">
      <c r="A62" s="49" t="s">
        <v>154</v>
      </c>
      <c r="I62" s="28"/>
      <c r="J62" s="28"/>
      <c r="K62" s="28"/>
      <c r="L62" s="28"/>
      <c r="M62" s="28"/>
    </row>
    <row r="63" spans="1:13" ht="24" customHeight="1">
      <c r="A63" s="50" t="s">
        <v>155</v>
      </c>
      <c r="I63" s="28"/>
      <c r="J63" s="28"/>
      <c r="K63" s="28"/>
      <c r="L63" s="28"/>
      <c r="M63" s="28"/>
    </row>
    <row r="64" spans="1:13" ht="1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</row>
    <row r="65" spans="1:13" ht="1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</row>
    <row r="66" spans="1:13" ht="1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</row>
    <row r="67" spans="1:13" ht="1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</row>
    <row r="68" spans="1:13" ht="1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</row>
    <row r="69" spans="1:13" ht="1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</row>
    <row r="70" spans="1:13" ht="1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</row>
  </sheetData>
  <mergeCells count="15">
    <mergeCell ref="A1:H1"/>
    <mergeCell ref="A48:F48"/>
    <mergeCell ref="A59:F59"/>
    <mergeCell ref="A43:F43"/>
    <mergeCell ref="A2:H2"/>
    <mergeCell ref="A5:F5"/>
    <mergeCell ref="A32:F32"/>
    <mergeCell ref="A6:F6"/>
    <mergeCell ref="A34:F34"/>
    <mergeCell ref="A18:F18"/>
    <mergeCell ref="A33:F33"/>
    <mergeCell ref="A47:F47"/>
    <mergeCell ref="A60:F60"/>
    <mergeCell ref="A19:F19"/>
    <mergeCell ref="A44:F44"/>
  </mergeCells>
  <pageMargins left="0.39370078740157499" right="0.39370078740157499" top="0.39370078740157499" bottom="0.39370078740157499" header="0.31496062992126" footer="0.31496062992126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  <pageSetUpPr fitToPage="1"/>
  </sheetPr>
  <dimension ref="A1:M60"/>
  <sheetViews>
    <sheetView view="pageBreakPreview" topLeftCell="A12" zoomScale="70" zoomScaleNormal="140" zoomScaleSheetLayoutView="70" workbookViewId="0">
      <selection activeCell="J6" sqref="J6"/>
    </sheetView>
  </sheetViews>
  <sheetFormatPr defaultColWidth="9.625" defaultRowHeight="21"/>
  <cols>
    <col min="1" max="1" width="7.375" style="3" bestFit="1" customWidth="1"/>
    <col min="2" max="2" width="56.375" style="2" customWidth="1"/>
    <col min="3" max="3" width="16.75" style="3" customWidth="1"/>
    <col min="4" max="4" width="11.375" style="13" bestFit="1" customWidth="1"/>
    <col min="5" max="5" width="21.25" style="18" bestFit="1" customWidth="1"/>
    <col min="6" max="6" width="20.75" style="18" bestFit="1" customWidth="1"/>
    <col min="7" max="7" width="21.375" style="18" customWidth="1"/>
    <col min="8" max="8" width="75.625" style="6" customWidth="1"/>
    <col min="9" max="9" width="19.25" style="1" bestFit="1" customWidth="1"/>
    <col min="10" max="10" width="21.75" style="14" customWidth="1"/>
    <col min="11" max="11" width="18.25" style="14" customWidth="1"/>
    <col min="12" max="12" width="9.625" style="1" customWidth="1"/>
    <col min="13" max="13" width="14" style="1" bestFit="1" customWidth="1"/>
    <col min="14" max="14" width="9.625" style="1" customWidth="1"/>
    <col min="15" max="16384" width="9.625" style="1"/>
  </cols>
  <sheetData>
    <row r="1" spans="1:13" ht="24" customHeight="1">
      <c r="A1" s="87" t="s">
        <v>0</v>
      </c>
      <c r="B1" s="88"/>
      <c r="C1" s="89"/>
      <c r="D1" s="109"/>
      <c r="E1" s="91"/>
      <c r="F1" s="91"/>
      <c r="G1" s="91"/>
      <c r="H1" s="110"/>
      <c r="I1" s="28"/>
      <c r="J1" s="28"/>
      <c r="K1" s="28"/>
      <c r="L1" s="28"/>
      <c r="M1" s="28"/>
    </row>
    <row r="2" spans="1:13" ht="36" customHeight="1">
      <c r="A2" s="87" t="s">
        <v>156</v>
      </c>
      <c r="B2" s="88"/>
      <c r="C2" s="89"/>
      <c r="D2" s="109"/>
      <c r="E2" s="91"/>
      <c r="F2" s="91"/>
      <c r="G2" s="91"/>
      <c r="H2" s="110"/>
      <c r="I2" s="28"/>
      <c r="J2" s="28"/>
      <c r="K2" s="28"/>
      <c r="L2" s="28"/>
      <c r="M2" s="28"/>
    </row>
    <row r="3" spans="1:13" ht="42" customHeight="1">
      <c r="A3" s="10" t="s">
        <v>2</v>
      </c>
      <c r="B3" s="11" t="s">
        <v>3</v>
      </c>
      <c r="C3" s="10" t="s">
        <v>4</v>
      </c>
      <c r="D3" s="10" t="s">
        <v>5</v>
      </c>
      <c r="E3" s="16" t="s">
        <v>6</v>
      </c>
      <c r="F3" s="17" t="s">
        <v>7</v>
      </c>
      <c r="G3" s="16" t="s">
        <v>157</v>
      </c>
      <c r="H3" s="27" t="s">
        <v>9</v>
      </c>
      <c r="I3" s="28"/>
      <c r="J3" s="28"/>
      <c r="K3" s="28"/>
      <c r="L3" s="28"/>
      <c r="M3" s="28"/>
    </row>
    <row r="4" spans="1:13" ht="20" customHeight="1">
      <c r="A4" s="93" t="s">
        <v>10</v>
      </c>
      <c r="B4" s="115"/>
      <c r="C4" s="93"/>
      <c r="D4" s="116"/>
      <c r="E4" s="117"/>
      <c r="F4" s="97"/>
      <c r="G4" s="51"/>
      <c r="H4" s="52"/>
      <c r="I4" s="34"/>
      <c r="J4" s="34"/>
      <c r="K4" s="28"/>
      <c r="L4" s="28"/>
      <c r="M4" s="28"/>
    </row>
    <row r="5" spans="1:13" ht="20" customHeight="1">
      <c r="A5" s="98" t="s">
        <v>11</v>
      </c>
      <c r="B5" s="111"/>
      <c r="C5" s="98"/>
      <c r="D5" s="112"/>
      <c r="E5" s="113"/>
      <c r="F5" s="102"/>
      <c r="G5" s="53"/>
      <c r="H5" s="54"/>
      <c r="I5" s="34"/>
      <c r="J5" s="34"/>
      <c r="K5" s="28"/>
      <c r="L5" s="28"/>
      <c r="M5" s="28"/>
    </row>
    <row r="6" spans="1:13" s="21" customFormat="1" ht="90" customHeight="1">
      <c r="A6" s="35">
        <v>1</v>
      </c>
      <c r="B6" s="55" t="s">
        <v>158</v>
      </c>
      <c r="C6" s="35" t="s">
        <v>159</v>
      </c>
      <c r="D6" s="56" t="s">
        <v>160</v>
      </c>
      <c r="E6" s="57">
        <v>640000</v>
      </c>
      <c r="F6" s="39">
        <v>607937</v>
      </c>
      <c r="G6" s="57">
        <v>100000</v>
      </c>
      <c r="H6" s="55" t="s">
        <v>161</v>
      </c>
      <c r="I6" s="34"/>
      <c r="J6" s="34"/>
      <c r="K6" s="34"/>
      <c r="L6" s="28"/>
      <c r="M6" s="28"/>
    </row>
    <row r="7" spans="1:13" ht="75" customHeight="1">
      <c r="A7" s="35">
        <v>2</v>
      </c>
      <c r="B7" s="55" t="s">
        <v>162</v>
      </c>
      <c r="C7" s="35" t="s">
        <v>163</v>
      </c>
      <c r="D7" s="56" t="s">
        <v>160</v>
      </c>
      <c r="E7" s="57">
        <v>0</v>
      </c>
      <c r="F7" s="39">
        <v>0</v>
      </c>
      <c r="G7" s="57">
        <v>16000</v>
      </c>
      <c r="H7" s="55" t="s">
        <v>164</v>
      </c>
      <c r="I7" s="34"/>
      <c r="J7" s="34"/>
      <c r="K7" s="34"/>
      <c r="L7" s="28"/>
      <c r="M7" s="28"/>
    </row>
    <row r="8" spans="1:13" ht="105" customHeight="1">
      <c r="A8" s="35">
        <v>3</v>
      </c>
      <c r="B8" s="55" t="s">
        <v>165</v>
      </c>
      <c r="C8" s="35" t="s">
        <v>166</v>
      </c>
      <c r="D8" s="56" t="s">
        <v>35</v>
      </c>
      <c r="E8" s="57">
        <v>2744000</v>
      </c>
      <c r="F8" s="39">
        <v>2669015.2000000002</v>
      </c>
      <c r="G8" s="57">
        <v>232000</v>
      </c>
      <c r="H8" s="55" t="s">
        <v>167</v>
      </c>
      <c r="I8" s="34"/>
      <c r="J8" s="34"/>
      <c r="K8" s="34"/>
      <c r="L8" s="28"/>
      <c r="M8" s="28"/>
    </row>
    <row r="9" spans="1:13" ht="60" customHeight="1">
      <c r="A9" s="35">
        <v>4</v>
      </c>
      <c r="B9" s="55" t="s">
        <v>94</v>
      </c>
      <c r="C9" s="35" t="s">
        <v>168</v>
      </c>
      <c r="D9" s="56" t="s">
        <v>14</v>
      </c>
      <c r="E9" s="57">
        <v>200327.36</v>
      </c>
      <c r="F9" s="39">
        <v>183086.36</v>
      </c>
      <c r="G9" s="57">
        <v>20000</v>
      </c>
      <c r="H9" s="55" t="s">
        <v>169</v>
      </c>
      <c r="I9" s="34"/>
      <c r="J9" s="34"/>
      <c r="K9" s="34"/>
      <c r="L9" s="28"/>
      <c r="M9" s="28"/>
    </row>
    <row r="10" spans="1:13" ht="90" customHeight="1">
      <c r="A10" s="35">
        <v>5</v>
      </c>
      <c r="B10" s="55" t="s">
        <v>87</v>
      </c>
      <c r="C10" s="35" t="s">
        <v>170</v>
      </c>
      <c r="D10" s="56" t="s">
        <v>14</v>
      </c>
      <c r="E10" s="57">
        <v>8400000</v>
      </c>
      <c r="F10" s="39">
        <v>7082429.7800000003</v>
      </c>
      <c r="G10" s="57">
        <v>410000</v>
      </c>
      <c r="H10" s="55" t="s">
        <v>171</v>
      </c>
      <c r="I10" s="34"/>
      <c r="J10" s="34"/>
      <c r="K10" s="34"/>
      <c r="L10" s="28"/>
      <c r="M10" s="28"/>
    </row>
    <row r="11" spans="1:13" ht="75" customHeight="1">
      <c r="A11" s="35">
        <v>6</v>
      </c>
      <c r="B11" s="55" t="s">
        <v>172</v>
      </c>
      <c r="C11" s="35" t="s">
        <v>163</v>
      </c>
      <c r="D11" s="56" t="s">
        <v>14</v>
      </c>
      <c r="E11" s="57">
        <v>0</v>
      </c>
      <c r="F11" s="39">
        <v>0</v>
      </c>
      <c r="G11" s="57">
        <v>10000</v>
      </c>
      <c r="H11" s="55" t="s">
        <v>173</v>
      </c>
      <c r="I11" s="34"/>
      <c r="J11" s="34"/>
      <c r="K11" s="34"/>
      <c r="L11" s="28"/>
      <c r="M11" s="28"/>
    </row>
    <row r="12" spans="1:13" ht="45" customHeight="1">
      <c r="A12" s="35">
        <v>7</v>
      </c>
      <c r="B12" s="55" t="s">
        <v>174</v>
      </c>
      <c r="C12" s="35" t="s">
        <v>175</v>
      </c>
      <c r="D12" s="56" t="s">
        <v>31</v>
      </c>
      <c r="E12" s="57">
        <v>120000</v>
      </c>
      <c r="F12" s="39">
        <v>97263</v>
      </c>
      <c r="G12" s="57">
        <v>23763</v>
      </c>
      <c r="H12" s="55" t="s">
        <v>176</v>
      </c>
      <c r="I12" s="34"/>
      <c r="J12" s="34"/>
      <c r="K12" s="34"/>
      <c r="L12" s="28"/>
      <c r="M12" s="28"/>
    </row>
    <row r="13" spans="1:13" ht="18" customHeight="1">
      <c r="A13" s="76" t="s">
        <v>50</v>
      </c>
      <c r="B13" s="103"/>
      <c r="C13" s="76"/>
      <c r="D13" s="104"/>
      <c r="E13" s="105"/>
      <c r="F13" s="79"/>
      <c r="G13" s="59">
        <f>SUM(G6:G12)</f>
        <v>811763</v>
      </c>
      <c r="H13" s="58"/>
      <c r="I13" s="34"/>
      <c r="J13" s="34"/>
      <c r="K13" s="34"/>
      <c r="L13" s="28"/>
      <c r="M13" s="28"/>
    </row>
    <row r="14" spans="1:13" ht="18" customHeight="1">
      <c r="A14" s="72" t="s">
        <v>85</v>
      </c>
      <c r="B14" s="106"/>
      <c r="C14" s="72"/>
      <c r="D14" s="107"/>
      <c r="E14" s="108"/>
      <c r="F14" s="75"/>
      <c r="G14" s="61">
        <f>G13</f>
        <v>811763</v>
      </c>
      <c r="H14" s="60"/>
      <c r="I14" s="34"/>
      <c r="J14" s="34"/>
      <c r="K14" s="34"/>
      <c r="L14" s="28"/>
      <c r="M14" s="28"/>
    </row>
    <row r="15" spans="1:13" ht="20" customHeight="1">
      <c r="A15" s="83" t="s">
        <v>86</v>
      </c>
      <c r="B15" s="118"/>
      <c r="C15" s="83"/>
      <c r="D15" s="119"/>
      <c r="E15" s="120"/>
      <c r="F15" s="86"/>
      <c r="G15" s="63"/>
      <c r="H15" s="62"/>
      <c r="I15" s="34"/>
      <c r="J15" s="34"/>
      <c r="K15" s="34"/>
      <c r="L15" s="28"/>
      <c r="M15" s="28"/>
    </row>
    <row r="16" spans="1:13" ht="45" customHeight="1">
      <c r="A16" s="35">
        <v>8</v>
      </c>
      <c r="B16" s="55" t="s">
        <v>177</v>
      </c>
      <c r="C16" s="35" t="s">
        <v>163</v>
      </c>
      <c r="D16" s="56" t="s">
        <v>89</v>
      </c>
      <c r="E16" s="57">
        <v>0</v>
      </c>
      <c r="F16" s="39">
        <v>0</v>
      </c>
      <c r="G16" s="57">
        <v>17400</v>
      </c>
      <c r="H16" s="55" t="s">
        <v>178</v>
      </c>
      <c r="I16" s="34"/>
      <c r="J16" s="34"/>
      <c r="K16" s="34"/>
      <c r="L16" s="28"/>
      <c r="M16" s="28"/>
    </row>
    <row r="17" spans="1:13" ht="75" customHeight="1">
      <c r="A17" s="35">
        <v>9</v>
      </c>
      <c r="B17" s="55" t="s">
        <v>179</v>
      </c>
      <c r="C17" s="35" t="s">
        <v>180</v>
      </c>
      <c r="D17" s="56" t="s">
        <v>89</v>
      </c>
      <c r="E17" s="57">
        <v>524000</v>
      </c>
      <c r="F17" s="39">
        <v>474006.2</v>
      </c>
      <c r="G17" s="57">
        <v>36000</v>
      </c>
      <c r="H17" s="55" t="s">
        <v>181</v>
      </c>
      <c r="I17" s="34"/>
      <c r="J17" s="34"/>
      <c r="K17" s="34"/>
      <c r="L17" s="28"/>
      <c r="M17" s="28"/>
    </row>
    <row r="18" spans="1:13" ht="105" customHeight="1">
      <c r="A18" s="35">
        <v>10</v>
      </c>
      <c r="B18" s="55" t="s">
        <v>182</v>
      </c>
      <c r="C18" s="35" t="s">
        <v>183</v>
      </c>
      <c r="D18" s="56" t="s">
        <v>111</v>
      </c>
      <c r="E18" s="57">
        <v>412750</v>
      </c>
      <c r="F18" s="39">
        <v>362510</v>
      </c>
      <c r="G18" s="57">
        <v>31934</v>
      </c>
      <c r="H18" s="55" t="s">
        <v>184</v>
      </c>
      <c r="I18" s="34"/>
      <c r="J18" s="34"/>
      <c r="K18" s="34"/>
      <c r="L18" s="28"/>
      <c r="M18" s="28"/>
    </row>
    <row r="19" spans="1:13" ht="18" customHeight="1">
      <c r="A19" s="76" t="s">
        <v>113</v>
      </c>
      <c r="B19" s="103"/>
      <c r="C19" s="76"/>
      <c r="D19" s="104"/>
      <c r="E19" s="105"/>
      <c r="F19" s="79"/>
      <c r="G19" s="59">
        <f>SUM(G16:G18)</f>
        <v>85334</v>
      </c>
      <c r="H19" s="58"/>
      <c r="I19" s="34"/>
      <c r="J19" s="34"/>
      <c r="K19" s="34"/>
      <c r="L19" s="28"/>
      <c r="M19" s="28"/>
    </row>
    <row r="20" spans="1:13" ht="20" customHeight="1">
      <c r="A20" s="83" t="s">
        <v>114</v>
      </c>
      <c r="B20" s="118"/>
      <c r="C20" s="83"/>
      <c r="D20" s="119"/>
      <c r="E20" s="120"/>
      <c r="F20" s="86"/>
      <c r="G20" s="63"/>
      <c r="H20" s="62"/>
      <c r="I20" s="34"/>
      <c r="J20" s="34"/>
      <c r="K20" s="34"/>
      <c r="L20" s="28"/>
      <c r="M20" s="28"/>
    </row>
    <row r="21" spans="1:13" ht="75" customHeight="1">
      <c r="A21" s="35">
        <v>11</v>
      </c>
      <c r="B21" s="55" t="s">
        <v>185</v>
      </c>
      <c r="C21" s="35" t="s">
        <v>163</v>
      </c>
      <c r="D21" s="56" t="s">
        <v>42</v>
      </c>
      <c r="E21" s="57">
        <v>0</v>
      </c>
      <c r="F21" s="39">
        <v>0</v>
      </c>
      <c r="G21" s="57">
        <v>115800</v>
      </c>
      <c r="H21" s="55" t="s">
        <v>186</v>
      </c>
      <c r="I21" s="34"/>
      <c r="J21" s="34"/>
      <c r="K21" s="34"/>
      <c r="L21" s="28"/>
      <c r="M21" s="28"/>
    </row>
    <row r="22" spans="1:13" ht="18" customHeight="1">
      <c r="A22" s="76" t="s">
        <v>121</v>
      </c>
      <c r="B22" s="103"/>
      <c r="C22" s="76"/>
      <c r="D22" s="104"/>
      <c r="E22" s="105"/>
      <c r="F22" s="79"/>
      <c r="G22" s="64">
        <f>SUM(G21:G21)</f>
        <v>115800</v>
      </c>
      <c r="H22" s="58"/>
      <c r="I22" s="34"/>
      <c r="J22" s="34"/>
      <c r="K22" s="34"/>
      <c r="L22" s="28"/>
      <c r="M22" s="28"/>
    </row>
    <row r="23" spans="1:13" ht="22" customHeight="1">
      <c r="A23" s="114" t="s">
        <v>187</v>
      </c>
      <c r="B23" s="81"/>
      <c r="C23" s="81"/>
      <c r="D23" s="81"/>
      <c r="E23" s="81"/>
      <c r="F23" s="82"/>
      <c r="G23" s="65">
        <f>G14+G19+G22</f>
        <v>1012897</v>
      </c>
      <c r="H23" s="66"/>
      <c r="I23" s="34"/>
      <c r="J23" s="34"/>
      <c r="K23" s="34"/>
      <c r="L23" s="28"/>
      <c r="M23" s="28"/>
    </row>
    <row r="24" spans="1:13" ht="15" customHeight="1">
      <c r="A24" s="4"/>
      <c r="B24" s="5"/>
      <c r="C24" s="19"/>
      <c r="D24" s="4"/>
      <c r="E24" s="15"/>
      <c r="F24" s="15"/>
      <c r="G24" s="15"/>
      <c r="H24" s="7"/>
      <c r="I24" s="34"/>
      <c r="J24" s="34"/>
      <c r="K24" s="34"/>
      <c r="L24" s="28"/>
      <c r="M24" s="28"/>
    </row>
    <row r="25" spans="1:13" ht="24" customHeight="1">
      <c r="A25" s="67" t="s">
        <v>188</v>
      </c>
      <c r="B25" s="5"/>
      <c r="C25" s="19"/>
      <c r="D25" s="4"/>
      <c r="E25" s="15"/>
      <c r="F25" s="15"/>
      <c r="G25" s="15"/>
      <c r="H25" s="7"/>
      <c r="I25" s="34"/>
      <c r="J25" s="34"/>
      <c r="K25" s="34"/>
      <c r="L25" s="28"/>
      <c r="M25" s="28"/>
    </row>
    <row r="26" spans="1:13" ht="24" hidden="1" customHeight="1">
      <c r="A26" s="68" t="s">
        <v>189</v>
      </c>
      <c r="G26" s="22"/>
      <c r="H26" s="26"/>
      <c r="I26" s="28"/>
      <c r="J26" s="28"/>
      <c r="K26" s="28"/>
      <c r="L26" s="28"/>
      <c r="M26" s="28"/>
    </row>
    <row r="27" spans="1:13" ht="24" customHeight="1">
      <c r="A27" s="50" t="s">
        <v>190</v>
      </c>
      <c r="I27" s="28"/>
      <c r="J27" s="28"/>
      <c r="K27" s="34"/>
      <c r="L27" s="28"/>
      <c r="M27" s="28"/>
    </row>
    <row r="28" spans="1:13" ht="15" customHeight="1">
      <c r="A28" s="69"/>
      <c r="B28" s="28"/>
      <c r="C28" s="28"/>
      <c r="D28" s="28"/>
      <c r="E28" s="28"/>
      <c r="F28" s="28"/>
      <c r="G28" s="28"/>
      <c r="H28" s="28"/>
      <c r="I28" s="28"/>
      <c r="J28" s="28"/>
      <c r="K28" s="34"/>
      <c r="L28" s="28"/>
      <c r="M28" s="28"/>
    </row>
    <row r="29" spans="1:13" ht="15" customHeight="1">
      <c r="A29" s="70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1:13" ht="15" customHeight="1">
      <c r="A30" s="71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1:13" ht="1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1:13" ht="1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1:13" ht="1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1:13" ht="1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1:13" ht="1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1:13" ht="1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 spans="1:13" ht="1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spans="1:13" ht="1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spans="1:13" ht="1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spans="1:13" ht="1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spans="1:13" ht="1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3" ht="1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1:13" ht="1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1:13" ht="1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1:13" ht="1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ht="1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</row>
    <row r="47" spans="1:13" ht="1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</row>
    <row r="48" spans="1:13" ht="1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</row>
    <row r="49" spans="1:13" ht="1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</row>
    <row r="50" spans="1:13" ht="1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</row>
    <row r="51" spans="1:13" ht="1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</row>
    <row r="52" spans="1:13" ht="1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</row>
    <row r="53" spans="1:13" ht="1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</row>
    <row r="54" spans="1:13" ht="1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</row>
    <row r="55" spans="1:13" ht="1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</row>
    <row r="56" spans="1:13" ht="1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</row>
    <row r="57" spans="1:13" ht="1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pans="1:13" ht="1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3" ht="1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</row>
    <row r="60" spans="1:13" ht="1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</sheetData>
  <mergeCells count="11">
    <mergeCell ref="A23:F23"/>
    <mergeCell ref="A22:F22"/>
    <mergeCell ref="A4:F4"/>
    <mergeCell ref="A1:H1"/>
    <mergeCell ref="A20:F20"/>
    <mergeCell ref="A15:F15"/>
    <mergeCell ref="A13:F13"/>
    <mergeCell ref="A14:F14"/>
    <mergeCell ref="A19:F19"/>
    <mergeCell ref="A2:H2"/>
    <mergeCell ref="A5:F5"/>
  </mergeCells>
  <pageMargins left="0.39370078740157499" right="0.39370078740157499" top="0.39370078740157499" bottom="0.39370078740157499" header="0.31496062992126" footer="0.31496062992126"/>
  <pageSetup paperSize="9" scale="85" fitToHeight="0" orientation="landscape" r:id="rId1"/>
  <rowBreaks count="3" manualBreakCount="3">
    <brk id="9" max="8" man="1"/>
    <brk id="16" max="8" man="1"/>
    <brk id="23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64"/>
  <sheetViews>
    <sheetView tabSelected="1" workbookViewId="0">
      <pane ySplit="4" topLeftCell="A57" activePane="bottomLeft" state="frozen"/>
      <selection pane="bottomLeft" activeCell="H12" sqref="H12"/>
    </sheetView>
  </sheetViews>
  <sheetFormatPr defaultRowHeight="17"/>
  <cols>
    <col min="1" max="1" width="6" style="123" customWidth="1"/>
    <col min="2" max="2" width="46" style="123" customWidth="1"/>
    <col min="3" max="3" width="18" style="123" customWidth="1"/>
    <col min="4" max="5" width="14" style="123" customWidth="1"/>
    <col min="6" max="6" width="34" style="123" customWidth="1"/>
    <col min="7" max="16384" width="9" style="123"/>
  </cols>
  <sheetData>
    <row r="1" spans="1:6" ht="24">
      <c r="A1" s="121" t="s">
        <v>191</v>
      </c>
      <c r="B1" s="122"/>
      <c r="C1" s="122"/>
      <c r="D1" s="122"/>
      <c r="E1" s="122"/>
      <c r="F1" s="122"/>
    </row>
    <row r="2" spans="1:6" ht="30" customHeight="1">
      <c r="A2" s="124" t="s">
        <v>192</v>
      </c>
      <c r="B2" s="122"/>
      <c r="C2" s="122"/>
      <c r="D2" s="122"/>
      <c r="E2" s="122"/>
      <c r="F2" s="122"/>
    </row>
    <row r="4" spans="1:6" ht="42">
      <c r="A4" s="125" t="s">
        <v>2</v>
      </c>
      <c r="B4" s="125" t="s">
        <v>3</v>
      </c>
      <c r="C4" s="125" t="s">
        <v>4</v>
      </c>
      <c r="D4" s="125" t="s">
        <v>5</v>
      </c>
      <c r="E4" s="125" t="s">
        <v>8</v>
      </c>
      <c r="F4" s="125" t="s">
        <v>193</v>
      </c>
    </row>
    <row r="5" spans="1:6" ht="24" customHeight="1">
      <c r="A5" s="126">
        <v>1</v>
      </c>
      <c r="B5" s="127" t="s">
        <v>12</v>
      </c>
      <c r="C5" s="126" t="s">
        <v>13</v>
      </c>
      <c r="D5" s="126" t="s">
        <v>14</v>
      </c>
      <c r="E5" s="128">
        <v>36000</v>
      </c>
      <c r="F5" s="127" t="s">
        <v>194</v>
      </c>
    </row>
    <row r="6" spans="1:6" ht="24" customHeight="1">
      <c r="A6" s="126">
        <v>2</v>
      </c>
      <c r="B6" s="127" t="s">
        <v>16</v>
      </c>
      <c r="C6" s="126" t="s">
        <v>17</v>
      </c>
      <c r="D6" s="126" t="s">
        <v>14</v>
      </c>
      <c r="E6" s="128">
        <v>1275</v>
      </c>
      <c r="F6" s="127" t="s">
        <v>194</v>
      </c>
    </row>
    <row r="7" spans="1:6" ht="24" customHeight="1">
      <c r="A7" s="126">
        <v>3</v>
      </c>
      <c r="B7" s="127" t="s">
        <v>19</v>
      </c>
      <c r="C7" s="126" t="s">
        <v>20</v>
      </c>
      <c r="D7" s="126" t="s">
        <v>14</v>
      </c>
      <c r="E7" s="128">
        <v>342619.35</v>
      </c>
      <c r="F7" s="127" t="s">
        <v>194</v>
      </c>
    </row>
    <row r="8" spans="1:6" ht="24" customHeight="1">
      <c r="A8" s="126">
        <v>4</v>
      </c>
      <c r="B8" s="127" t="s">
        <v>22</v>
      </c>
      <c r="C8" s="126" t="s">
        <v>23</v>
      </c>
      <c r="D8" s="126" t="s">
        <v>24</v>
      </c>
      <c r="E8" s="128">
        <v>3876</v>
      </c>
      <c r="F8" s="127" t="s">
        <v>194</v>
      </c>
    </row>
    <row r="9" spans="1:6" ht="24" customHeight="1">
      <c r="A9" s="126">
        <v>5</v>
      </c>
      <c r="B9" s="127" t="s">
        <v>26</v>
      </c>
      <c r="C9" s="126" t="s">
        <v>27</v>
      </c>
      <c r="D9" s="126" t="s">
        <v>24</v>
      </c>
      <c r="E9" s="128">
        <v>30205</v>
      </c>
      <c r="F9" s="127" t="s">
        <v>194</v>
      </c>
    </row>
    <row r="10" spans="1:6" ht="30" customHeight="1">
      <c r="A10" s="126">
        <v>6</v>
      </c>
      <c r="B10" s="127" t="s">
        <v>52</v>
      </c>
      <c r="C10" s="126" t="s">
        <v>53</v>
      </c>
      <c r="D10" s="126" t="s">
        <v>24</v>
      </c>
      <c r="E10" s="128">
        <v>60069.24</v>
      </c>
      <c r="F10" s="127" t="s">
        <v>194</v>
      </c>
    </row>
    <row r="11" spans="1:6" ht="45" customHeight="1">
      <c r="A11" s="126">
        <v>7</v>
      </c>
      <c r="B11" s="127" t="s">
        <v>55</v>
      </c>
      <c r="C11" s="126" t="s">
        <v>56</v>
      </c>
      <c r="D11" s="126" t="s">
        <v>31</v>
      </c>
      <c r="E11" s="128">
        <v>10936.93</v>
      </c>
      <c r="F11" s="127" t="s">
        <v>194</v>
      </c>
    </row>
    <row r="12" spans="1:6" ht="63">
      <c r="A12" s="126">
        <v>8</v>
      </c>
      <c r="B12" s="127" t="s">
        <v>58</v>
      </c>
      <c r="C12" s="126" t="s">
        <v>56</v>
      </c>
      <c r="D12" s="126" t="s">
        <v>31</v>
      </c>
      <c r="E12" s="128">
        <v>18428</v>
      </c>
      <c r="F12" s="127" t="s">
        <v>194</v>
      </c>
    </row>
    <row r="13" spans="1:6" ht="42">
      <c r="A13" s="126">
        <v>9</v>
      </c>
      <c r="B13" s="127" t="s">
        <v>60</v>
      </c>
      <c r="C13" s="126" t="s">
        <v>56</v>
      </c>
      <c r="D13" s="126" t="s">
        <v>31</v>
      </c>
      <c r="E13" s="128">
        <v>42274.9</v>
      </c>
      <c r="F13" s="127" t="s">
        <v>194</v>
      </c>
    </row>
    <row r="14" spans="1:6" ht="63">
      <c r="A14" s="126">
        <v>10</v>
      </c>
      <c r="B14" s="127" t="s">
        <v>62</v>
      </c>
      <c r="C14" s="126" t="s">
        <v>56</v>
      </c>
      <c r="D14" s="126" t="s">
        <v>31</v>
      </c>
      <c r="E14" s="128">
        <v>52231.4</v>
      </c>
      <c r="F14" s="127" t="s">
        <v>194</v>
      </c>
    </row>
    <row r="15" spans="1:6" ht="63">
      <c r="A15" s="126">
        <v>11</v>
      </c>
      <c r="B15" s="127" t="s">
        <v>64</v>
      </c>
      <c r="C15" s="126" t="s">
        <v>56</v>
      </c>
      <c r="D15" s="126" t="s">
        <v>31</v>
      </c>
      <c r="E15" s="128">
        <v>46500</v>
      </c>
      <c r="F15" s="127" t="s">
        <v>194</v>
      </c>
    </row>
    <row r="16" spans="1:6" ht="42">
      <c r="A16" s="126">
        <v>12</v>
      </c>
      <c r="B16" s="127" t="s">
        <v>66</v>
      </c>
      <c r="C16" s="126" t="s">
        <v>56</v>
      </c>
      <c r="D16" s="126" t="s">
        <v>31</v>
      </c>
      <c r="E16" s="128">
        <v>4000</v>
      </c>
      <c r="F16" s="127" t="s">
        <v>194</v>
      </c>
    </row>
    <row r="17" spans="1:6" ht="63">
      <c r="A17" s="126">
        <v>13</v>
      </c>
      <c r="B17" s="127" t="s">
        <v>68</v>
      </c>
      <c r="C17" s="126" t="s">
        <v>69</v>
      </c>
      <c r="D17" s="126" t="s">
        <v>31</v>
      </c>
      <c r="E17" s="128">
        <v>100000</v>
      </c>
      <c r="F17" s="127" t="s">
        <v>194</v>
      </c>
    </row>
    <row r="18" spans="1:6" ht="60" customHeight="1">
      <c r="A18" s="126">
        <v>14</v>
      </c>
      <c r="B18" s="127" t="s">
        <v>123</v>
      </c>
      <c r="C18" s="126" t="s">
        <v>124</v>
      </c>
      <c r="D18" s="126" t="s">
        <v>31</v>
      </c>
      <c r="E18" s="128">
        <v>35180</v>
      </c>
      <c r="F18" s="127" t="s">
        <v>194</v>
      </c>
    </row>
    <row r="19" spans="1:6" ht="84">
      <c r="A19" s="126">
        <v>15</v>
      </c>
      <c r="B19" s="127" t="s">
        <v>126</v>
      </c>
      <c r="C19" s="126" t="s">
        <v>124</v>
      </c>
      <c r="D19" s="126" t="s">
        <v>31</v>
      </c>
      <c r="E19" s="128">
        <v>30637</v>
      </c>
      <c r="F19" s="127" t="s">
        <v>194</v>
      </c>
    </row>
    <row r="20" spans="1:6" ht="42">
      <c r="A20" s="126">
        <v>16</v>
      </c>
      <c r="B20" s="127" t="s">
        <v>128</v>
      </c>
      <c r="C20" s="126" t="s">
        <v>129</v>
      </c>
      <c r="D20" s="126" t="s">
        <v>31</v>
      </c>
      <c r="E20" s="128">
        <v>12110</v>
      </c>
      <c r="F20" s="127" t="s">
        <v>194</v>
      </c>
    </row>
    <row r="21" spans="1:6" ht="24" customHeight="1">
      <c r="A21" s="126">
        <v>17</v>
      </c>
      <c r="B21" s="127" t="s">
        <v>71</v>
      </c>
      <c r="C21" s="126" t="s">
        <v>72</v>
      </c>
      <c r="D21" s="126" t="s">
        <v>31</v>
      </c>
      <c r="E21" s="128">
        <v>17.73</v>
      </c>
      <c r="F21" s="127" t="s">
        <v>194</v>
      </c>
    </row>
    <row r="22" spans="1:6" ht="24" customHeight="1">
      <c r="A22" s="126">
        <v>18</v>
      </c>
      <c r="B22" s="127" t="s">
        <v>29</v>
      </c>
      <c r="C22" s="126" t="s">
        <v>30</v>
      </c>
      <c r="D22" s="126" t="s">
        <v>31</v>
      </c>
      <c r="E22" s="128">
        <v>105000</v>
      </c>
      <c r="F22" s="127" t="s">
        <v>194</v>
      </c>
    </row>
    <row r="23" spans="1:6" ht="24" customHeight="1">
      <c r="A23" s="126">
        <v>19</v>
      </c>
      <c r="B23" s="127" t="s">
        <v>33</v>
      </c>
      <c r="C23" s="126" t="s">
        <v>34</v>
      </c>
      <c r="D23" s="126" t="s">
        <v>35</v>
      </c>
      <c r="E23" s="128">
        <v>201045.5</v>
      </c>
      <c r="F23" s="127" t="s">
        <v>194</v>
      </c>
    </row>
    <row r="24" spans="1:6" ht="42">
      <c r="A24" s="126">
        <v>20</v>
      </c>
      <c r="B24" s="127" t="s">
        <v>37</v>
      </c>
      <c r="C24" s="126" t="s">
        <v>38</v>
      </c>
      <c r="D24" s="126" t="s">
        <v>35</v>
      </c>
      <c r="E24" s="128">
        <v>21865</v>
      </c>
      <c r="F24" s="127" t="s">
        <v>194</v>
      </c>
    </row>
    <row r="25" spans="1:6" ht="21">
      <c r="A25" s="126">
        <v>21</v>
      </c>
      <c r="B25" s="127" t="s">
        <v>131</v>
      </c>
      <c r="C25" s="126" t="s">
        <v>132</v>
      </c>
      <c r="D25" s="126" t="s">
        <v>35</v>
      </c>
      <c r="E25" s="128">
        <v>201242.05</v>
      </c>
      <c r="F25" s="127" t="s">
        <v>194</v>
      </c>
    </row>
    <row r="26" spans="1:6" ht="42">
      <c r="A26" s="126">
        <v>22</v>
      </c>
      <c r="B26" s="127" t="s">
        <v>74</v>
      </c>
      <c r="C26" s="126" t="s">
        <v>75</v>
      </c>
      <c r="D26" s="126" t="s">
        <v>76</v>
      </c>
      <c r="E26" s="128">
        <v>35171</v>
      </c>
      <c r="F26" s="127" t="s">
        <v>194</v>
      </c>
    </row>
    <row r="27" spans="1:6" ht="63">
      <c r="A27" s="126">
        <v>23</v>
      </c>
      <c r="B27" s="127" t="s">
        <v>78</v>
      </c>
      <c r="C27" s="126" t="s">
        <v>79</v>
      </c>
      <c r="D27" s="126" t="s">
        <v>76</v>
      </c>
      <c r="E27" s="128">
        <v>460</v>
      </c>
      <c r="F27" s="127" t="s">
        <v>194</v>
      </c>
    </row>
    <row r="28" spans="1:6" ht="42">
      <c r="A28" s="126">
        <v>24</v>
      </c>
      <c r="B28" s="127" t="s">
        <v>134</v>
      </c>
      <c r="C28" s="126" t="s">
        <v>135</v>
      </c>
      <c r="D28" s="126" t="s">
        <v>76</v>
      </c>
      <c r="E28" s="128">
        <v>25525</v>
      </c>
      <c r="F28" s="127" t="s">
        <v>194</v>
      </c>
    </row>
    <row r="29" spans="1:6" ht="60" customHeight="1">
      <c r="A29" s="129">
        <v>25</v>
      </c>
      <c r="B29" s="130" t="s">
        <v>137</v>
      </c>
      <c r="C29" s="129" t="s">
        <v>138</v>
      </c>
      <c r="D29" s="129" t="s">
        <v>139</v>
      </c>
      <c r="E29" s="131">
        <v>441688</v>
      </c>
      <c r="F29" s="130" t="s">
        <v>195</v>
      </c>
    </row>
    <row r="30" spans="1:6" ht="56" customHeight="1">
      <c r="A30" s="132"/>
      <c r="B30" s="133" t="s">
        <v>196</v>
      </c>
      <c r="C30" s="134"/>
      <c r="D30" s="135"/>
      <c r="E30" s="136">
        <v>30000</v>
      </c>
      <c r="F30" s="132" t="s">
        <v>197</v>
      </c>
    </row>
    <row r="31" spans="1:6" ht="70" customHeight="1">
      <c r="A31" s="132"/>
      <c r="B31" s="133" t="s">
        <v>198</v>
      </c>
      <c r="C31" s="134"/>
      <c r="D31" s="135"/>
      <c r="E31" s="136">
        <v>72911</v>
      </c>
      <c r="F31" s="132" t="s">
        <v>197</v>
      </c>
    </row>
    <row r="32" spans="1:6" ht="56" customHeight="1">
      <c r="A32" s="132"/>
      <c r="B32" s="133" t="s">
        <v>199</v>
      </c>
      <c r="C32" s="134"/>
      <c r="D32" s="135"/>
      <c r="E32" s="136">
        <v>80000</v>
      </c>
      <c r="F32" s="132" t="s">
        <v>197</v>
      </c>
    </row>
    <row r="33" spans="1:6" ht="42" customHeight="1">
      <c r="A33" s="132"/>
      <c r="B33" s="133" t="s">
        <v>200</v>
      </c>
      <c r="C33" s="134"/>
      <c r="D33" s="135"/>
      <c r="E33" s="136">
        <v>127000</v>
      </c>
      <c r="F33" s="132" t="s">
        <v>197</v>
      </c>
    </row>
    <row r="34" spans="1:6" ht="84" customHeight="1">
      <c r="A34" s="137"/>
      <c r="B34" s="138" t="s">
        <v>201</v>
      </c>
      <c r="C34" s="134"/>
      <c r="D34" s="135"/>
      <c r="E34" s="137"/>
      <c r="F34" s="137" t="s">
        <v>194</v>
      </c>
    </row>
    <row r="35" spans="1:6" ht="70" customHeight="1">
      <c r="A35" s="137"/>
      <c r="B35" s="138" t="s">
        <v>202</v>
      </c>
      <c r="C35" s="134"/>
      <c r="D35" s="135"/>
      <c r="E35" s="139">
        <v>11777</v>
      </c>
      <c r="F35" s="137" t="s">
        <v>194</v>
      </c>
    </row>
    <row r="36" spans="1:6" ht="70" customHeight="1">
      <c r="A36" s="137"/>
      <c r="B36" s="138" t="s">
        <v>203</v>
      </c>
      <c r="C36" s="134"/>
      <c r="D36" s="135"/>
      <c r="E36" s="139">
        <v>50000</v>
      </c>
      <c r="F36" s="137" t="s">
        <v>194</v>
      </c>
    </row>
    <row r="37" spans="1:6" ht="70" customHeight="1">
      <c r="A37" s="132"/>
      <c r="B37" s="133" t="s">
        <v>204</v>
      </c>
      <c r="C37" s="134"/>
      <c r="D37" s="135"/>
      <c r="E37" s="136">
        <v>70000</v>
      </c>
      <c r="F37" s="132" t="s">
        <v>197</v>
      </c>
    </row>
    <row r="38" spans="1:6" ht="22" customHeight="1">
      <c r="A38" s="140"/>
      <c r="B38" s="141" t="s">
        <v>205</v>
      </c>
      <c r="C38" s="142"/>
      <c r="D38" s="142"/>
      <c r="E38" s="140"/>
      <c r="F38" s="140"/>
    </row>
    <row r="39" spans="1:6" ht="24" customHeight="1">
      <c r="A39" s="126">
        <v>26</v>
      </c>
      <c r="B39" s="127" t="s">
        <v>141</v>
      </c>
      <c r="C39" s="126" t="s">
        <v>142</v>
      </c>
      <c r="D39" s="126" t="s">
        <v>139</v>
      </c>
      <c r="E39" s="128">
        <v>98750</v>
      </c>
      <c r="F39" s="127" t="s">
        <v>194</v>
      </c>
    </row>
    <row r="40" spans="1:6" ht="24" customHeight="1">
      <c r="A40" s="126">
        <v>27</v>
      </c>
      <c r="B40" s="127" t="s">
        <v>144</v>
      </c>
      <c r="C40" s="126" t="s">
        <v>145</v>
      </c>
      <c r="D40" s="126" t="s">
        <v>139</v>
      </c>
      <c r="E40" s="128">
        <v>46710</v>
      </c>
      <c r="F40" s="127" t="s">
        <v>194</v>
      </c>
    </row>
    <row r="41" spans="1:6" ht="45" customHeight="1">
      <c r="A41" s="126">
        <v>28</v>
      </c>
      <c r="B41" s="127" t="s">
        <v>115</v>
      </c>
      <c r="C41" s="126" t="s">
        <v>116</v>
      </c>
      <c r="D41" s="126" t="s">
        <v>42</v>
      </c>
      <c r="E41" s="128">
        <v>15000</v>
      </c>
      <c r="F41" s="127" t="s">
        <v>194</v>
      </c>
    </row>
    <row r="42" spans="1:6" ht="30" customHeight="1">
      <c r="A42" s="126">
        <v>29</v>
      </c>
      <c r="B42" s="127" t="s">
        <v>118</v>
      </c>
      <c r="C42" s="126" t="s">
        <v>119</v>
      </c>
      <c r="D42" s="126" t="s">
        <v>42</v>
      </c>
      <c r="E42" s="128">
        <v>800000</v>
      </c>
      <c r="F42" s="127" t="s">
        <v>194</v>
      </c>
    </row>
    <row r="43" spans="1:6" ht="30" customHeight="1">
      <c r="A43" s="126">
        <v>30</v>
      </c>
      <c r="B43" s="127" t="s">
        <v>81</v>
      </c>
      <c r="C43" s="126" t="s">
        <v>82</v>
      </c>
      <c r="D43" s="126" t="s">
        <v>42</v>
      </c>
      <c r="E43" s="128">
        <v>3</v>
      </c>
      <c r="F43" s="127" t="s">
        <v>194</v>
      </c>
    </row>
    <row r="44" spans="1:6" ht="30" customHeight="1">
      <c r="A44" s="126">
        <v>31</v>
      </c>
      <c r="B44" s="127" t="s">
        <v>40</v>
      </c>
      <c r="C44" s="126" t="s">
        <v>41</v>
      </c>
      <c r="D44" s="126" t="s">
        <v>42</v>
      </c>
      <c r="E44" s="128">
        <v>440</v>
      </c>
      <c r="F44" s="127" t="s">
        <v>194</v>
      </c>
    </row>
    <row r="45" spans="1:6" ht="30" customHeight="1">
      <c r="A45" s="126">
        <v>32</v>
      </c>
      <c r="B45" s="127" t="s">
        <v>44</v>
      </c>
      <c r="C45" s="126" t="s">
        <v>45</v>
      </c>
      <c r="D45" s="126" t="s">
        <v>42</v>
      </c>
      <c r="E45" s="128">
        <v>15630</v>
      </c>
      <c r="F45" s="127" t="s">
        <v>194</v>
      </c>
    </row>
    <row r="46" spans="1:6" ht="24" customHeight="1">
      <c r="A46" s="126">
        <v>33</v>
      </c>
      <c r="B46" s="127" t="s">
        <v>47</v>
      </c>
      <c r="C46" s="126" t="s">
        <v>48</v>
      </c>
      <c r="D46" s="126" t="s">
        <v>42</v>
      </c>
      <c r="E46" s="128">
        <v>784.63</v>
      </c>
      <c r="F46" s="127" t="s">
        <v>194</v>
      </c>
    </row>
    <row r="47" spans="1:6" ht="24" customHeight="1">
      <c r="A47" s="126">
        <v>34</v>
      </c>
      <c r="B47" s="127" t="s">
        <v>87</v>
      </c>
      <c r="C47" s="126" t="s">
        <v>88</v>
      </c>
      <c r="D47" s="126" t="s">
        <v>89</v>
      </c>
      <c r="E47" s="128">
        <v>48006.74</v>
      </c>
      <c r="F47" s="127" t="s">
        <v>194</v>
      </c>
    </row>
    <row r="48" spans="1:6" ht="30" customHeight="1">
      <c r="A48" s="126">
        <v>35</v>
      </c>
      <c r="B48" s="127" t="s">
        <v>91</v>
      </c>
      <c r="C48" s="126" t="s">
        <v>92</v>
      </c>
      <c r="D48" s="126" t="s">
        <v>89</v>
      </c>
      <c r="E48" s="128">
        <v>33043</v>
      </c>
      <c r="F48" s="127" t="s">
        <v>194</v>
      </c>
    </row>
    <row r="49" spans="1:6" ht="24" customHeight="1">
      <c r="A49" s="126">
        <v>36</v>
      </c>
      <c r="B49" s="127" t="s">
        <v>94</v>
      </c>
      <c r="C49" s="126" t="s">
        <v>95</v>
      </c>
      <c r="D49" s="126" t="s">
        <v>89</v>
      </c>
      <c r="E49" s="128">
        <v>15140</v>
      </c>
      <c r="F49" s="127" t="s">
        <v>194</v>
      </c>
    </row>
    <row r="50" spans="1:6" ht="24" customHeight="1">
      <c r="A50" s="126">
        <v>37</v>
      </c>
      <c r="B50" s="127" t="s">
        <v>97</v>
      </c>
      <c r="C50" s="126" t="s">
        <v>98</v>
      </c>
      <c r="D50" s="126" t="s">
        <v>89</v>
      </c>
      <c r="E50" s="128">
        <v>310463</v>
      </c>
      <c r="F50" s="127" t="s">
        <v>194</v>
      </c>
    </row>
    <row r="51" spans="1:6" ht="45" customHeight="1">
      <c r="A51" s="126">
        <v>38</v>
      </c>
      <c r="B51" s="127" t="s">
        <v>100</v>
      </c>
      <c r="C51" s="126" t="s">
        <v>101</v>
      </c>
      <c r="D51" s="126" t="s">
        <v>89</v>
      </c>
      <c r="E51" s="128">
        <v>1710</v>
      </c>
      <c r="F51" s="127" t="s">
        <v>194</v>
      </c>
    </row>
    <row r="52" spans="1:6" ht="30" customHeight="1">
      <c r="A52" s="126">
        <v>39</v>
      </c>
      <c r="B52" s="127" t="s">
        <v>103</v>
      </c>
      <c r="C52" s="126" t="s">
        <v>104</v>
      </c>
      <c r="D52" s="126" t="s">
        <v>89</v>
      </c>
      <c r="E52" s="128">
        <v>38175</v>
      </c>
      <c r="F52" s="127" t="s">
        <v>194</v>
      </c>
    </row>
    <row r="53" spans="1:6" ht="24" customHeight="1">
      <c r="A53" s="126">
        <v>40</v>
      </c>
      <c r="B53" s="127" t="s">
        <v>131</v>
      </c>
      <c r="C53" s="126" t="s">
        <v>147</v>
      </c>
      <c r="D53" s="126" t="s">
        <v>89</v>
      </c>
      <c r="E53" s="128">
        <v>118175</v>
      </c>
      <c r="F53" s="127" t="s">
        <v>194</v>
      </c>
    </row>
    <row r="54" spans="1:6" ht="30" customHeight="1">
      <c r="A54" s="126">
        <v>41</v>
      </c>
      <c r="B54" s="127" t="s">
        <v>106</v>
      </c>
      <c r="C54" s="126" t="s">
        <v>107</v>
      </c>
      <c r="D54" s="126" t="s">
        <v>108</v>
      </c>
      <c r="E54" s="128">
        <v>36230</v>
      </c>
      <c r="F54" s="127" t="s">
        <v>194</v>
      </c>
    </row>
    <row r="55" spans="1:6" ht="24" customHeight="1">
      <c r="A55" s="126">
        <v>42</v>
      </c>
      <c r="B55" s="127" t="s">
        <v>97</v>
      </c>
      <c r="C55" s="126" t="s">
        <v>110</v>
      </c>
      <c r="D55" s="126" t="s">
        <v>111</v>
      </c>
      <c r="E55" s="128">
        <v>158982</v>
      </c>
      <c r="F55" s="127" t="s">
        <v>194</v>
      </c>
    </row>
    <row r="56" spans="1:6" ht="30" customHeight="1">
      <c r="A56" s="126">
        <v>43</v>
      </c>
      <c r="B56" s="127" t="s">
        <v>149</v>
      </c>
      <c r="C56" s="126" t="s">
        <v>150</v>
      </c>
      <c r="D56" s="126" t="s">
        <v>111</v>
      </c>
      <c r="E56" s="128">
        <v>187419.08</v>
      </c>
      <c r="F56" s="127" t="s">
        <v>194</v>
      </c>
    </row>
    <row r="58" spans="1:6" ht="21">
      <c r="A58" s="143" t="s">
        <v>206</v>
      </c>
    </row>
    <row r="59" spans="1:6" ht="21">
      <c r="A59" s="144" t="s">
        <v>207</v>
      </c>
      <c r="B59" s="122"/>
      <c r="C59" s="122"/>
      <c r="D59" s="122"/>
      <c r="E59" s="122"/>
      <c r="F59" s="122"/>
    </row>
    <row r="60" spans="1:6" ht="21">
      <c r="A60" s="144" t="s">
        <v>208</v>
      </c>
      <c r="B60" s="122"/>
      <c r="C60" s="122"/>
      <c r="D60" s="122"/>
      <c r="E60" s="122"/>
      <c r="F60" s="122"/>
    </row>
    <row r="61" spans="1:6" ht="21">
      <c r="A61" s="144" t="s">
        <v>209</v>
      </c>
      <c r="B61" s="122"/>
      <c r="C61" s="122"/>
      <c r="D61" s="122"/>
      <c r="E61" s="122"/>
      <c r="F61" s="122"/>
    </row>
    <row r="62" spans="1:6" ht="21">
      <c r="A62" s="145" t="s">
        <v>210</v>
      </c>
      <c r="B62" s="122"/>
      <c r="C62" s="122"/>
      <c r="D62" s="122"/>
      <c r="E62" s="122"/>
      <c r="F62" s="122"/>
    </row>
    <row r="64" spans="1:6" ht="75" customHeight="1">
      <c r="A64" s="146" t="s">
        <v>211</v>
      </c>
      <c r="B64" s="122"/>
      <c r="C64" s="122"/>
      <c r="D64" s="122"/>
      <c r="E64" s="122"/>
      <c r="F64" s="122"/>
    </row>
  </sheetData>
  <mergeCells count="16">
    <mergeCell ref="A1:F1"/>
    <mergeCell ref="B32:D32"/>
    <mergeCell ref="B35:D35"/>
    <mergeCell ref="A64:F64"/>
    <mergeCell ref="A61:F61"/>
    <mergeCell ref="B30:D30"/>
    <mergeCell ref="A62:F62"/>
    <mergeCell ref="B38:D38"/>
    <mergeCell ref="A59:F59"/>
    <mergeCell ref="B34:D34"/>
    <mergeCell ref="B33:D33"/>
    <mergeCell ref="A2:F2"/>
    <mergeCell ref="B36:D36"/>
    <mergeCell ref="B37:D37"/>
    <mergeCell ref="A60:F60"/>
    <mergeCell ref="B31:D3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แนบ 1 อำนาจรับคืน</vt:lpstr>
      <vt:lpstr>แนบ 1 อำนาจให้เพิ่ม</vt:lpstr>
      <vt:lpstr>สรุปยกเลิก-ปรับแผน</vt:lpstr>
      <vt:lpstr>'แนบ 1 อำนาจรับคืน'!Print_Area</vt:lpstr>
      <vt:lpstr>'แนบ 1 อำนาจให้เพิ่ม'!Print_Area</vt:lpstr>
      <vt:lpstr>'สรุปยกเลิก-ปรับแผน'!Print_Area</vt:lpstr>
      <vt:lpstr>'แนบ 1 อำนาจรับคืน'!Print_Titles</vt:lpstr>
      <vt:lpstr>'แนบ 1 อำนาจให้เพิ่ม'!Print_Titles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NHRC</dc:creator>
  <cp:lastModifiedBy>Bandit Homket</cp:lastModifiedBy>
  <cp:lastPrinted>2026-06-16T20:51:06Z</cp:lastPrinted>
  <dcterms:created xsi:type="dcterms:W3CDTF">2026-05-19T05:57:21Z</dcterms:created>
  <dcterms:modified xsi:type="dcterms:W3CDTF">2026-09-01T19:35:47Z</dcterms:modified>
</cp:coreProperties>
</file>